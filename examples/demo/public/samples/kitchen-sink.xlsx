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  <sheet name="Lookups" sheetId="3" r:id="rId3"/>
    <sheet name="Notes" sheetId="4" r:id="rId4"/>
    <sheet name="Reference" sheetId="5" r:id="rId5"/>
    <sheet name="Settings" sheetId="6" state="hidden" r:id="rId6"/>
    <sheet name="Monthly Chart" sheetId="7" r:id="rId7"/>
  </sheets>
  <definedNames>
    <definedName name="TaxRate">Settings!$B$1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4" authorId="0">
      <text>
        <r>
          <rPr>
            <sz val="8"/>
            <color indexed="81"/>
            <rFont val="Tahoma"/>
            <family val="2"/>
          </rPr>
          <t>Totals are calculated from the Data sheet.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<sst xmlns="http://schemas.openxmlformats.org/spreadsheetml/2006/main" count="483" uniqueCount="63">
  <si>
    <t>Tax rate</t>
  </si>
  <si>
    <t>Date</t>
  </si>
  <si>
    <t>Region</t>
  </si>
  <si>
    <t>Product</t>
  </si>
  <si>
    <t>Units</t>
  </si>
  <si>
    <t>Price</t>
  </si>
  <si>
    <t>Revenue</t>
  </si>
  <si>
    <t>North</t>
  </si>
  <si>
    <t>Widget</t>
  </si>
  <si>
    <t>East</t>
  </si>
  <si>
    <t>South</t>
  </si>
  <si>
    <t>Gizmo</t>
  </si>
  <si>
    <t>West</t>
  </si>
  <si>
    <t>Gadget</t>
  </si>
  <si>
    <t>Regional Sales Summary 2026</t>
  </si>
  <si>
    <t>Report date</t>
  </si>
  <si>
    <t>Opened</t>
  </si>
  <si>
    <t>Q1</t>
  </si>
  <si>
    <t>Q2</t>
  </si>
  <si>
    <t>Q3</t>
  </si>
  <si>
    <t>Q4</t>
  </si>
  <si>
    <t>Total</t>
  </si>
  <si>
    <t>Share</t>
  </si>
  <si>
    <t>Tax due</t>
  </si>
  <si>
    <t>Top region</t>
  </si>
  <si>
    <t>Regions</t>
  </si>
  <si>
    <t>Regions (CONCAT)</t>
  </si>
  <si>
    <t>Margin (LET)</t>
  </si>
  <si>
    <t>Margin after tax</t>
  </si>
  <si>
    <t>Sales handbook</t>
  </si>
  <si>
    <t>Month</t>
  </si>
  <si>
    <t>Lookup and formula examples</t>
  </si>
  <si>
    <t>Price (XLOOKUP)</t>
  </si>
  <si>
    <t>Price (VLOOKUP)</t>
  </si>
  <si>
    <t>Units sold (SUMIF)</t>
  </si>
  <si>
    <t>Revenue (table reference)</t>
  </si>
  <si>
    <t>Distinct regions (spill)</t>
  </si>
  <si>
    <t>Weighted units (array)</t>
  </si>
  <si>
    <t>Doubled prices (array)</t>
  </si>
  <si>
    <t>Rich text</t>
  </si>
  <si>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italic</t>
    </r>
    <r>
      <rPr>
        <sz val="11"/>
        <color theme="1"/>
        <rFont val="Calibri"/>
        <family val="2"/>
        <scheme val="minor"/>
      </rPr>
      <t xml:space="preserve"> text</t>
    </r>
  </si>
  <si>
    <t>Price band (IFS)</t>
  </si>
  <si>
    <t>Month end (EDATE)</t>
  </si>
  <si>
    <t>Label (text functions)</t>
  </si>
  <si>
    <t>Negative check</t>
  </si>
  <si>
    <t>Notes</t>
  </si>
  <si>
    <t>This sheet holds a picture, a text box, hidden rows and sparklines. The editor keeps all of them when it saves, even though it only shows placeholders.</t>
  </si>
  <si>
    <t>Hidden</t>
  </si>
  <si>
    <t>row</t>
  </si>
  <si>
    <t>one</t>
  </si>
  <si>
    <t>two</t>
  </si>
  <si>
    <t>Trend</t>
  </si>
  <si>
    <t>Jan</t>
  </si>
  <si>
    <t>Feb</t>
  </si>
  <si>
    <t>Mar</t>
  </si>
  <si>
    <t>Apr</t>
  </si>
  <si>
    <t>May</t>
  </si>
  <si>
    <t>Code</t>
  </si>
  <si>
    <t>Meaning</t>
  </si>
  <si>
    <t>N</t>
  </si>
  <si>
    <t>S</t>
  </si>
  <si>
    <t>E</t>
  </si>
  <si>
    <t>W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</si>
</sst>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.00"/>
    <numFmt numFmtId="166" formatCode="0.0%"/>
    <numFmt numFmtId="167" formatCode="mmm yyyy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C00000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217346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3" borderId="1" xfId="0" applyFont="1" applyFill="1" applyBorder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165" fontId="2" fillId="0" borderId="2" xfId="0" applyNumberFormat="1" applyFont="1" applyBorder="1"/>
    <xf numFmtId="166" fontId="2" fillId="0" borderId="2" xfId="0" applyNumberFormat="1" applyFont="1" applyBorder="1"/>
    <xf numFmtId="0" fontId="3" fillId="0" borderId="0" xfId="1" applyAlignment="1" applyProtection="1"/>
    <xf numFmtId="167" fontId="0" fillId="0" borderId="0" xfId="0" applyNumberFormat="1"/>
    <xf numFmtId="0" fontId="4" fillId="0" borderId="0" xfId="0" applyFont="1"/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chartsheet" Target="chartsheets/sheet1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</c:v>
          </c:tx>
          <c:spPr>
            <a:solidFill>
              <a:srgbClr val="217346"/>
            </a:solidFill>
          </c:spPr>
          <c:cat>
            <c:strRef>
              <c:f>Summary!$A$5:$A$8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Summary!$F$5:$F$8</c:f>
              <c:numCache>
                <c:formatCode>General</c:formatCode>
                <c:ptCount val="4"/>
                <c:pt idx="0">
                  <c:v>36359.5</c:v>
                </c:pt>
                <c:pt idx="1">
                  <c:v>42651.25</c:v>
                </c:pt>
                <c:pt idx="2">
                  <c:v>42312.25</c:v>
                </c:pt>
                <c:pt idx="3">
                  <c:v>36602.25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 of revenue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Share</c:v>
          </c:tx>
          <c:cat>
            <c:strRef>
              <c:f>Summary!$A$5:$A$8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Summary!$G$5:$G$8</c:f>
              <c:numCache>
                <c:formatCode>General</c:formatCode>
                <c:ptCount val="4"/>
                <c:pt idx="0">
                  <c:v>0.23023234093344794</c:v>
                </c:pt>
                <c:pt idx="1">
                  <c:v>0.27007239184360954</c:v>
                </c:pt>
                <c:pt idx="2">
                  <c:v>0.26792580667119414</c:v>
                </c:pt>
                <c:pt idx="3">
                  <c:v>0.23176946055174838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2026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revenue</c:v>
          </c:tx>
          <c:spPr>
            <a:ln w="28575">
              <a:solidFill>
                <a:srgbClr val="217346"/>
              </a:solidFill>
            </a:ln>
          </c:spPr>
          <c:marker>
            <c:symbol val="none"/>
          </c:marker>
          <c:cat>
            <c:numRef>
              <c:f>Summary!$A$22:$A$33</c:f>
              <c:numCache>
                <c:formatCode>General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Summary!$B$22:$B$33</c:f>
              <c:numCache>
                <c:formatCode>General</c:formatCode>
                <c:ptCount val="12"/>
                <c:pt idx="0">
                  <c:v>12058.5</c:v>
                </c:pt>
                <c:pt idx="1">
                  <c:v>12862.25</c:v>
                </c:pt>
                <c:pt idx="2">
                  <c:v>13967.25</c:v>
                </c:pt>
                <c:pt idx="3">
                  <c:v>9803.25</c:v>
                </c:pt>
                <c:pt idx="4">
                  <c:v>13046.5</c:v>
                </c:pt>
                <c:pt idx="5">
                  <c:v>12032.25</c:v>
                </c:pt>
                <c:pt idx="6">
                  <c:v>10370.75</c:v>
                </c:pt>
                <c:pt idx="7">
                  <c:v>12110.0</c:v>
                </c:pt>
                <c:pt idx="8">
                  <c:v>7381.75</c:v>
                </c:pt>
                <c:pt idx="9">
                  <c:v>18863.0</c:v>
                </c:pt>
                <c:pt idx="10">
                  <c:v>17171.0</c:v>
                </c:pt>
                <c:pt idx="11">
                  <c:v>18258.75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15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15</xdr:col>
      <xdr:colOff>304800</xdr:colOff>
      <xdr:row>32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457200</xdr:colOff>
      <xdr:row>3</xdr:row>
      <xdr:rowOff>76200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050" y="190500"/>
          <a:ext cx="457200" cy="4572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10</xdr:col>
      <xdr:colOff>266700</xdr:colOff>
      <xdr:row>10</xdr:row>
      <xdr:rowOff>0</xdr:rowOff>
    </xdr:to>
    <xdr:sp macro="" textlink="">
      <xdr:nvSpPr>
        <xdr:cNvPr id="3" name="TextBox 2"/>
        <xdr:cNvSpPr txBox="1"/>
      </xdr:nvSpPr>
      <xdr:spPr>
        <a:xfrm>
          <a:off x="6496050" y="952500"/>
          <a:ext cx="20955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Text boxes are kept too.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1" name="SalesData" displayName="SalesData" ref="A1:F201" totalsRowShown="0">
  <autoFilter ref="A1:F201"/>
  <tableColumns count="6">
    <tableColumn id="1" name="Date"/>
    <tableColumn id="2" name="Region"/>
    <tableColumn id="3" name="Product"/>
    <tableColumn id="4" name="Units"/>
    <tableColumn id="5" name="Price"/>
    <tableColumn id="6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sales-handbook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8.7109375" customWidth="1"/>
    <col min="2" max="6" width="13.7109375" customWidth="1"/>
    <col min="7" max="7" width="10.7109375" customWidth="1"/>
  </cols>
  <sheetData>
    <row r="1" spans="1:7">
      <c r="A1" s="1" t="s">
        <v>14</v>
      </c>
      <c r="B1" s="1"/>
      <c r="C1" s="1"/>
      <c r="D1" s="1"/>
      <c r="E1" s="1"/>
      <c r="F1" s="1"/>
      <c r="G1" s="1"/>
    </row>
    <row r="2" spans="1:7">
      <c r="A2" t="s">
        <v>15</v>
      </c>
      <c r="B2" s="2">
        <f>DATE(2026,10,1)</f>
        <v>46296</v>
      </c>
      <c r="D2" t="s">
        <v>16</v>
      </c>
      <c r="E2" s="2">
        <f>TODAY()</f>
        <v>46302</v>
      </c>
    </row>
    <row r="4" spans="1:7">
      <c r="A4" s="3" t="s">
        <v>2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</row>
    <row r="5" spans="1:7">
      <c r="A5" t="s">
        <v>7</v>
      </c>
      <c r="B5" s="4">
        <f>SUMIFS(Data!$F$2:$F$201,Data!$B$2:$B$201,$A5,Data!$A$2:$A$201,"&gt;="&amp;DATE(2026,1,1),Data!$A$2:$A$201,"&lt;"&amp;DATE(2026,4,1))</f>
        <v>9521.25</v>
      </c>
      <c r="C5" s="4">
        <f>SUMIFS(Data!$F$2:$F$201,Data!$B$2:$B$201,$A5,Data!$A$2:$A$201,"&gt;="&amp;DATE(2026,4,1),Data!$A$2:$A$201,"&lt;"&amp;DATE(2026,7,1))</f>
        <v>7775.25</v>
      </c>
      <c r="D5" s="4">
        <f>SUMIFS(Data!$F$2:$F$201,Data!$B$2:$B$201,$A5,Data!$A$2:$A$201,"&gt;="&amp;DATE(2026,7,1),Data!$A$2:$A$201,"&lt;"&amp;DATE(2026,10,1))</f>
        <v>10733.75</v>
      </c>
      <c r="E5" s="4">
        <f>SUMIFS(Data!$F$2:$F$201,Data!$B$2:$B$201,$A5,Data!$A$2:$A$201,"&gt;="&amp;DATE(2026,10,1),Data!$A$2:$A$201,"&lt;"&amp;DATE(2027,1,1))</f>
        <v>8329.25</v>
      </c>
      <c r="F5" s="4">
        <f>SUM(B5:E5)</f>
        <v>36359.5</v>
      </c>
      <c r="G5" s="5">
        <f>F5/$F$9</f>
        <v>0.23023234093344794</v>
      </c>
    </row>
    <row r="6" spans="1:7">
      <c r="A6" t="s">
        <v>10</v>
      </c>
      <c r="B6" s="4">
        <f>SUMIFS(Data!$F$2:$F$201,Data!$B$2:$B$201,$A6,Data!$A$2:$A$201,"&gt;="&amp;DATE(2026,1,1),Data!$A$2:$A$201,"&lt;"&amp;DATE(2026,4,1))</f>
        <v>6010.0</v>
      </c>
      <c r="C6" s="4">
        <f>SUMIFS(Data!$F$2:$F$201,Data!$B$2:$B$201,$A6,Data!$A$2:$A$201,"&gt;="&amp;DATE(2026,4,1),Data!$A$2:$A$201,"&lt;"&amp;DATE(2026,7,1))</f>
        <v>10491.25</v>
      </c>
      <c r="D6" s="4">
        <f>SUMIFS(Data!$F$2:$F$201,Data!$B$2:$B$201,$A6,Data!$A$2:$A$201,"&gt;="&amp;DATE(2026,7,1),Data!$A$2:$A$201,"&lt;"&amp;DATE(2026,10,1))</f>
        <v>10215.0</v>
      </c>
      <c r="E6" s="4">
        <f>SUMIFS(Data!$F$2:$F$201,Data!$B$2:$B$201,$A6,Data!$A$2:$A$201,"&gt;="&amp;DATE(2026,10,1),Data!$A$2:$A$201,"&lt;"&amp;DATE(2027,1,1))</f>
        <v>15935.0</v>
      </c>
      <c r="F6" s="4">
        <f>SUM(B6:E6)</f>
        <v>42651.25</v>
      </c>
      <c r="G6" s="5">
        <f>F6/$F$9</f>
        <v>0.27007239184360954</v>
      </c>
    </row>
    <row r="7" spans="1:7">
      <c r="A7" t="s">
        <v>9</v>
      </c>
      <c r="B7" s="4">
        <f>SUMIFS(Data!$F$2:$F$201,Data!$B$2:$B$201,$A7,Data!$A$2:$A$201,"&gt;="&amp;DATE(2026,1,1),Data!$A$2:$A$201,"&lt;"&amp;DATE(2026,4,1))</f>
        <v>14424.5</v>
      </c>
      <c r="C7" s="4">
        <f>SUMIFS(Data!$F$2:$F$201,Data!$B$2:$B$201,$A7,Data!$A$2:$A$201,"&gt;="&amp;DATE(2026,4,1),Data!$A$2:$A$201,"&lt;"&amp;DATE(2026,7,1))</f>
        <v>7887.25</v>
      </c>
      <c r="D7" s="4">
        <f>SUMIFS(Data!$F$2:$F$201,Data!$B$2:$B$201,$A7,Data!$A$2:$A$201,"&gt;="&amp;DATE(2026,7,1),Data!$A$2:$A$201,"&lt;"&amp;DATE(2026,10,1))</f>
        <v>4681.25</v>
      </c>
      <c r="E7" s="4">
        <f>SUMIFS(Data!$F$2:$F$201,Data!$B$2:$B$201,$A7,Data!$A$2:$A$201,"&gt;="&amp;DATE(2026,10,1),Data!$A$2:$A$201,"&lt;"&amp;DATE(2027,1,1))</f>
        <v>15319.25</v>
      </c>
      <c r="F7" s="4">
        <f>SUM(B7:E7)</f>
        <v>42312.25</v>
      </c>
      <c r="G7" s="5">
        <f>F7/$F$9</f>
        <v>0.26792580667119414</v>
      </c>
    </row>
    <row r="8" spans="1:7">
      <c r="A8" t="s">
        <v>12</v>
      </c>
      <c r="B8" s="4">
        <f>SUMIFS(Data!$F$2:$F$201,Data!$B$2:$B$201,$A8,Data!$A$2:$A$201,"&gt;="&amp;DATE(2026,1,1),Data!$A$2:$A$201,"&lt;"&amp;DATE(2026,4,1))</f>
        <v>8932.25</v>
      </c>
      <c r="C8" s="4">
        <f>SUMIFS(Data!$F$2:$F$201,Data!$B$2:$B$201,$A8,Data!$A$2:$A$201,"&gt;="&amp;DATE(2026,4,1),Data!$A$2:$A$201,"&lt;"&amp;DATE(2026,7,1))</f>
        <v>8728.25</v>
      </c>
      <c r="D8" s="4">
        <f>SUMIFS(Data!$F$2:$F$201,Data!$B$2:$B$201,$A8,Data!$A$2:$A$201,"&gt;="&amp;DATE(2026,7,1),Data!$A$2:$A$201,"&lt;"&amp;DATE(2026,10,1))</f>
        <v>4232.5</v>
      </c>
      <c r="E8" s="4">
        <f>SUMIFS(Data!$F$2:$F$201,Data!$B$2:$B$201,$A8,Data!$A$2:$A$201,"&gt;="&amp;DATE(2026,10,1),Data!$A$2:$A$201,"&lt;"&amp;DATE(2027,1,1))</f>
        <v>14709.25</v>
      </c>
      <c r="F8" s="4">
        <f>SUM(B8:E8)</f>
        <v>36602.25</v>
      </c>
      <c r="G8" s="5">
        <f>F8/$F$9</f>
        <v>0.23176946055174838</v>
      </c>
    </row>
    <row r="9" spans="1:7">
      <c r="A9" s="6" t="s">
        <v>21</v>
      </c>
      <c r="B9" s="7">
        <f>SUM(B5:B8)</f>
        <v>38888.0</v>
      </c>
      <c r="C9" s="7">
        <f>SUM(C5:C8)</f>
        <v>34882.0</v>
      </c>
      <c r="D9" s="7">
        <f>SUM(D5:D8)</f>
        <v>29862.5</v>
      </c>
      <c r="E9" s="7">
        <f>SUM(E5:E8)</f>
        <v>54292.75</v>
      </c>
      <c r="F9" s="7">
        <f>SUM(F5:F8)</f>
        <v>157925.25</v>
      </c>
      <c r="G9" s="8">
        <f>SUM(G5:G8)</f>
        <v>1.0</v>
      </c>
    </row>
    <row r="11" spans="1:7">
      <c r="A11" t="s">
        <v>0</v>
      </c>
      <c r="B11" s="5">
        <f>TaxRate</f>
        <v>0.2</v>
      </c>
    </row>
    <row r="12" spans="1:7">
      <c r="A12" t="s">
        <v>23</v>
      </c>
      <c r="B12" s="4">
        <f>F9*TaxRate</f>
        <v>31585.050000000003</v>
      </c>
    </row>
    <row r="13" spans="1:7">
      <c r="A13" t="s">
        <v>24</v>
      </c>
      <c r="B13" t="str">
        <f>INDEX(A5:A8,MATCH(MAX(F5:F8),F5:F8,0))</f>
        <v>South</v>
      </c>
    </row>
    <row r="14" spans="1:7">
      <c r="A14" t="s">
        <v>25</v>
      </c>
      <c r="B14" t="str">
        <f>_xlfn.TEXTJOIN(", ",TRUE,A5:A8)</f>
        <v>North, South, East, West</v>
      </c>
    </row>
    <row r="15" spans="1:7">
      <c r="A15" t="s">
        <v>26</v>
      </c>
      <c r="B15" t="str">
        <f>_xlfn.CONCAT(A5:A8)</f>
        <v>NorthSouthEastWest</v>
      </c>
    </row>
    <row r="16" spans="1:7">
      <c r="A16" t="s">
        <v>27</v>
      </c>
      <c r="B16" s="4">
        <f>_xlfn.LET(revenue,F9,cost,F9*0.6,revenue-cost)</f>
        <v>63170.100000000006</v>
      </c>
    </row>
    <row r="17" spans="1:2">
      <c r="A17" t="s">
        <v>28</v>
      </c>
      <c r="B17" s="4">
        <f>B16*(1-TaxRate)</f>
        <v>50536.08000000001</v>
      </c>
    </row>
    <row r="19" spans="1:2">
      <c r="A19" s="9" t="s">
        <v>29</v>
      </c>
    </row>
    <row r="21" spans="1:2">
      <c r="A21" s="3" t="s">
        <v>30</v>
      </c>
      <c r="B21" s="3" t="s">
        <v>6</v>
      </c>
    </row>
    <row r="22" spans="1:2">
      <c r="A22" s="10">
        <v>46023</v>
      </c>
      <c r="B22" s="4">
        <f>SUMIFS(Data!$F$2:$F$201,Data!$A$2:$A$201,"&gt;="&amp;A22,Data!$A$2:$A$201,"&lt;"&amp;EDATE(A22,1))</f>
        <v>12058.5</v>
      </c>
    </row>
    <row r="23" spans="1:2">
      <c r="A23" s="10">
        <v>46054</v>
      </c>
      <c r="B23" s="4">
        <f>SUMIFS(Data!$F$2:$F$201,Data!$A$2:$A$201,"&gt;="&amp;A23,Data!$A$2:$A$201,"&lt;"&amp;EDATE(A23,1))</f>
        <v>12862.25</v>
      </c>
    </row>
    <row r="24" spans="1:2">
      <c r="A24" s="10">
        <v>46082</v>
      </c>
      <c r="B24" s="4">
        <f>SUMIFS(Data!$F$2:$F$201,Data!$A$2:$A$201,"&gt;="&amp;A24,Data!$A$2:$A$201,"&lt;"&amp;EDATE(A24,1))</f>
        <v>13967.25</v>
      </c>
    </row>
    <row r="25" spans="1:2">
      <c r="A25" s="10">
        <v>46113</v>
      </c>
      <c r="B25" s="4">
        <f>SUMIFS(Data!$F$2:$F$201,Data!$A$2:$A$201,"&gt;="&amp;A25,Data!$A$2:$A$201,"&lt;"&amp;EDATE(A25,1))</f>
        <v>9803.25</v>
      </c>
    </row>
    <row r="26" spans="1:2">
      <c r="A26" s="10">
        <v>46143</v>
      </c>
      <c r="B26" s="4">
        <f>SUMIFS(Data!$F$2:$F$201,Data!$A$2:$A$201,"&gt;="&amp;A26,Data!$A$2:$A$201,"&lt;"&amp;EDATE(A26,1))</f>
        <v>13046.5</v>
      </c>
    </row>
    <row r="27" spans="1:2">
      <c r="A27" s="10">
        <v>46174</v>
      </c>
      <c r="B27" s="4">
        <f>SUMIFS(Data!$F$2:$F$201,Data!$A$2:$A$201,"&gt;="&amp;A27,Data!$A$2:$A$201,"&lt;"&amp;EDATE(A27,1))</f>
        <v>12032.25</v>
      </c>
    </row>
    <row r="28" spans="1:2">
      <c r="A28" s="10">
        <v>46204</v>
      </c>
      <c r="B28" s="4">
        <f>SUMIFS(Data!$F$2:$F$201,Data!$A$2:$A$201,"&gt;="&amp;A28,Data!$A$2:$A$201,"&lt;"&amp;EDATE(A28,1))</f>
        <v>10370.75</v>
      </c>
    </row>
    <row r="29" spans="1:2">
      <c r="A29" s="10">
        <v>46235</v>
      </c>
      <c r="B29" s="4">
        <f>SUMIFS(Data!$F$2:$F$201,Data!$A$2:$A$201,"&gt;="&amp;A29,Data!$A$2:$A$201,"&lt;"&amp;EDATE(A29,1))</f>
        <v>12110.0</v>
      </c>
    </row>
    <row r="30" spans="1:2">
      <c r="A30" s="10">
        <v>46266</v>
      </c>
      <c r="B30" s="4">
        <f>SUMIFS(Data!$F$2:$F$201,Data!$A$2:$A$201,"&gt;="&amp;A30,Data!$A$2:$A$201,"&lt;"&amp;EDATE(A30,1))</f>
        <v>7381.75</v>
      </c>
    </row>
    <row r="31" spans="1:2">
      <c r="A31" s="10">
        <v>46296</v>
      </c>
      <c r="B31" s="4">
        <f>SUMIFS(Data!$F$2:$F$201,Data!$A$2:$A$201,"&gt;="&amp;A31,Data!$A$2:$A$201,"&lt;"&amp;EDATE(A31,1))</f>
        <v>18863.0</v>
      </c>
    </row>
    <row r="32" spans="1:2">
      <c r="A32" s="10">
        <v>46327</v>
      </c>
      <c r="B32" s="4">
        <f>SUMIFS(Data!$F$2:$F$201,Data!$A$2:$A$201,"&gt;="&amp;A32,Data!$A$2:$A$201,"&lt;"&amp;EDATE(A32,1))</f>
        <v>17171.0</v>
      </c>
    </row>
    <row r="33" spans="1:2">
      <c r="A33" s="10">
        <v>46357</v>
      </c>
      <c r="B33" s="4">
        <f>SUMIFS(Data!$F$2:$F$201,Data!$A$2:$A$201,"&gt;="&amp;A33,Data!$A$2:$A$201,"&lt;"&amp;EDATE(A33,1))</f>
        <v>18258.75</v>
      </c>
    </row>
  </sheetData>
  <mergeCells count="1">
    <mergeCell ref="A1:G1"/>
  </mergeCells>
  <hyperlinks>
    <hyperlink ref="A19" r:id="rId1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1.7109375" customWidth="1"/>
    <col min="4" max="5" width="9.7109375" customWidth="1"/>
    <col min="6" max="6" width="12.7109375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>
      <c r="A2" s="2">
        <v>46023</v>
      </c>
      <c r="B2" t="s">
        <v>7</v>
      </c>
      <c r="C2" t="s">
        <v>8</v>
      </c>
      <c r="D2">
        <v>95</v>
      </c>
      <c r="E2" s="4">
        <v>12.5</v>
      </c>
      <c r="F2" s="4">
        <f>D2*E2</f>
        <v>1187.5</v>
      </c>
    </row>
    <row r="3" spans="1:6">
      <c r="A3" s="2">
        <v>46024</v>
      </c>
      <c r="B3" t="s">
        <v>9</v>
      </c>
      <c r="C3" t="s">
        <v>8</v>
      </c>
      <c r="D3">
        <v>29</v>
      </c>
      <c r="E3" s="4">
        <v>12.5</v>
      </c>
      <c r="F3" s="4">
        <f>D3*E3</f>
        <v>362.5</v>
      </c>
    </row>
    <row r="4" spans="1:6">
      <c r="A4" s="2">
        <v>46026</v>
      </c>
      <c r="B4" t="s">
        <v>10</v>
      </c>
      <c r="C4" t="s">
        <v>11</v>
      </c>
      <c r="D4">
        <v>14</v>
      </c>
      <c r="E4" s="4">
        <v>7.25</v>
      </c>
      <c r="F4" s="4">
        <f>D4*E4</f>
        <v>101.5</v>
      </c>
    </row>
    <row r="5" spans="1:6">
      <c r="A5" s="2">
        <v>46028</v>
      </c>
      <c r="B5" t="s">
        <v>7</v>
      </c>
      <c r="C5" t="s">
        <v>11</v>
      </c>
      <c r="D5">
        <v>55</v>
      </c>
      <c r="E5" s="4">
        <v>7.25</v>
      </c>
      <c r="F5" s="4">
        <f>D5*E5</f>
        <v>398.75</v>
      </c>
    </row>
    <row r="6" spans="1:6">
      <c r="A6" s="2">
        <v>46030</v>
      </c>
      <c r="B6" t="s">
        <v>7</v>
      </c>
      <c r="C6" t="s">
        <v>8</v>
      </c>
      <c r="D6">
        <v>12</v>
      </c>
      <c r="E6" s="4">
        <v>12.5</v>
      </c>
      <c r="F6" s="4">
        <f>D6*E6</f>
        <v>150.0</v>
      </c>
    </row>
    <row r="7" spans="1:6">
      <c r="A7" s="2">
        <v>46032</v>
      </c>
      <c r="B7" t="s">
        <v>10</v>
      </c>
      <c r="C7" t="s">
        <v>8</v>
      </c>
      <c r="D7">
        <v>65</v>
      </c>
      <c r="E7" s="4">
        <v>12.5</v>
      </c>
      <c r="F7" s="4">
        <f>D7*E7</f>
        <v>812.5</v>
      </c>
    </row>
    <row r="8" spans="1:6">
      <c r="A8" s="2">
        <v>46033</v>
      </c>
      <c r="B8" t="s">
        <v>7</v>
      </c>
      <c r="C8" t="s">
        <v>11</v>
      </c>
      <c r="D8">
        <v>26</v>
      </c>
      <c r="E8" s="4">
        <v>7.25</v>
      </c>
      <c r="F8" s="4">
        <f>D8*E8</f>
        <v>188.5</v>
      </c>
    </row>
    <row r="9" spans="1:6">
      <c r="A9" s="2">
        <v>46035</v>
      </c>
      <c r="B9" t="s">
        <v>12</v>
      </c>
      <c r="C9" t="s">
        <v>8</v>
      </c>
      <c r="D9">
        <v>58</v>
      </c>
      <c r="E9" s="4">
        <v>12.5</v>
      </c>
      <c r="F9" s="4">
        <f>D9*E9</f>
        <v>725.0</v>
      </c>
    </row>
    <row r="10" spans="1:6">
      <c r="A10" s="2">
        <v>46037</v>
      </c>
      <c r="B10" t="s">
        <v>9</v>
      </c>
      <c r="C10" t="s">
        <v>8</v>
      </c>
      <c r="D10">
        <v>98</v>
      </c>
      <c r="E10" s="4">
        <v>12.5</v>
      </c>
      <c r="F10" s="4">
        <f>D10*E10</f>
        <v>1225.0</v>
      </c>
    </row>
    <row r="11" spans="1:6">
      <c r="A11" s="2">
        <v>46039</v>
      </c>
      <c r="B11" t="s">
        <v>10</v>
      </c>
      <c r="C11" t="s">
        <v>11</v>
      </c>
      <c r="D11">
        <v>55</v>
      </c>
      <c r="E11" s="4">
        <v>7.25</v>
      </c>
      <c r="F11" s="4">
        <f>D11*E11</f>
        <v>398.75</v>
      </c>
    </row>
    <row r="12" spans="1:6">
      <c r="A12" s="2">
        <v>46041</v>
      </c>
      <c r="B12" t="s">
        <v>9</v>
      </c>
      <c r="C12" t="s">
        <v>13</v>
      </c>
      <c r="D12">
        <v>20</v>
      </c>
      <c r="E12" s="4">
        <v>30</v>
      </c>
      <c r="F12" s="4">
        <f>D12*E12</f>
        <v>600.0</v>
      </c>
    </row>
    <row r="13" spans="1:6">
      <c r="A13" s="2">
        <v>46043</v>
      </c>
      <c r="B13" t="s">
        <v>10</v>
      </c>
      <c r="C13" t="s">
        <v>13</v>
      </c>
      <c r="D13">
        <v>14</v>
      </c>
      <c r="E13" s="4">
        <v>30</v>
      </c>
      <c r="F13" s="4">
        <f>D13*E13</f>
        <v>420.0</v>
      </c>
    </row>
    <row r="14" spans="1:6">
      <c r="A14" s="2">
        <v>46044</v>
      </c>
      <c r="B14" t="s">
        <v>7</v>
      </c>
      <c r="C14" t="s">
        <v>13</v>
      </c>
      <c r="D14">
        <v>13</v>
      </c>
      <c r="E14" s="4">
        <v>30</v>
      </c>
      <c r="F14" s="4">
        <f>D14*E14</f>
        <v>390.0</v>
      </c>
    </row>
    <row r="15" spans="1:6">
      <c r="A15" s="2">
        <v>46046</v>
      </c>
      <c r="B15" t="s">
        <v>9</v>
      </c>
      <c r="C15" t="s">
        <v>13</v>
      </c>
      <c r="D15">
        <v>78</v>
      </c>
      <c r="E15" s="4">
        <v>30</v>
      </c>
      <c r="F15" s="4">
        <f>D15*E15</f>
        <v>2340.0</v>
      </c>
    </row>
    <row r="16" spans="1:6">
      <c r="A16" s="2">
        <v>46048</v>
      </c>
      <c r="B16" t="s">
        <v>9</v>
      </c>
      <c r="C16" t="s">
        <v>8</v>
      </c>
      <c r="D16">
        <v>94</v>
      </c>
      <c r="E16" s="4">
        <v>12.5</v>
      </c>
      <c r="F16" s="4">
        <f>D16*E16</f>
        <v>1175.0</v>
      </c>
    </row>
    <row r="17" spans="1:6">
      <c r="A17" s="2">
        <v>46050</v>
      </c>
      <c r="B17" t="s">
        <v>12</v>
      </c>
      <c r="C17" t="s">
        <v>11</v>
      </c>
      <c r="D17">
        <v>16</v>
      </c>
      <c r="E17" s="4">
        <v>7.25</v>
      </c>
      <c r="F17" s="4">
        <f>D17*E17</f>
        <v>116.0</v>
      </c>
    </row>
    <row r="18" spans="1:6">
      <c r="A18" s="2">
        <v>46052</v>
      </c>
      <c r="B18" t="s">
        <v>12</v>
      </c>
      <c r="C18" t="s">
        <v>8</v>
      </c>
      <c r="D18">
        <v>71</v>
      </c>
      <c r="E18" s="4">
        <v>12.5</v>
      </c>
      <c r="F18" s="4">
        <f>D18*E18</f>
        <v>887.5</v>
      </c>
    </row>
    <row r="19" spans="1:6">
      <c r="A19" s="2">
        <v>46053</v>
      </c>
      <c r="B19" t="s">
        <v>9</v>
      </c>
      <c r="C19" t="s">
        <v>11</v>
      </c>
      <c r="D19">
        <v>80</v>
      </c>
      <c r="E19" s="4">
        <v>7.25</v>
      </c>
      <c r="F19" s="4">
        <f>D19*E19</f>
        <v>580.0</v>
      </c>
    </row>
    <row r="20" spans="1:6">
      <c r="A20" s="2">
        <v>46055</v>
      </c>
      <c r="B20" t="s">
        <v>9</v>
      </c>
      <c r="C20" t="s">
        <v>11</v>
      </c>
      <c r="D20">
        <v>25</v>
      </c>
      <c r="E20" s="4">
        <v>7.25</v>
      </c>
      <c r="F20" s="4">
        <f>D20*E20</f>
        <v>181.25</v>
      </c>
    </row>
    <row r="21" spans="1:6">
      <c r="A21" s="2">
        <v>46057</v>
      </c>
      <c r="B21" t="s">
        <v>7</v>
      </c>
      <c r="C21" t="s">
        <v>8</v>
      </c>
      <c r="D21">
        <v>85</v>
      </c>
      <c r="E21" s="4">
        <v>12.5</v>
      </c>
      <c r="F21" s="4">
        <f>D21*E21</f>
        <v>1062.5</v>
      </c>
    </row>
    <row r="22" spans="1:6">
      <c r="A22" s="2">
        <v>46059</v>
      </c>
      <c r="B22" t="s">
        <v>10</v>
      </c>
      <c r="C22" t="s">
        <v>13</v>
      </c>
      <c r="D22">
        <v>11</v>
      </c>
      <c r="E22" s="4">
        <v>30</v>
      </c>
      <c r="F22" s="4">
        <f>D22*E22</f>
        <v>330.0</v>
      </c>
    </row>
    <row r="23" spans="1:6">
      <c r="A23" s="2">
        <v>46061</v>
      </c>
      <c r="B23" t="s">
        <v>10</v>
      </c>
      <c r="C23" t="s">
        <v>8</v>
      </c>
      <c r="D23">
        <v>49</v>
      </c>
      <c r="E23" s="4">
        <v>12.5</v>
      </c>
      <c r="F23" s="4">
        <f>D23*E23</f>
        <v>612.5</v>
      </c>
    </row>
    <row r="24" spans="1:6">
      <c r="A24" s="2">
        <v>46063</v>
      </c>
      <c r="B24" t="s">
        <v>9</v>
      </c>
      <c r="C24" t="s">
        <v>13</v>
      </c>
      <c r="D24">
        <v>82</v>
      </c>
      <c r="E24" s="4">
        <v>30</v>
      </c>
      <c r="F24" s="4">
        <f>D24*E24</f>
        <v>2460.0</v>
      </c>
    </row>
    <row r="25" spans="1:6">
      <c r="A25" s="2">
        <v>46064</v>
      </c>
      <c r="B25" t="s">
        <v>9</v>
      </c>
      <c r="C25" t="s">
        <v>8</v>
      </c>
      <c r="D25">
        <v>48</v>
      </c>
      <c r="E25" s="4">
        <v>12.5</v>
      </c>
      <c r="F25" s="4">
        <f>D25*E25</f>
        <v>600.0</v>
      </c>
    </row>
    <row r="26" spans="1:6">
      <c r="A26" s="2">
        <v>46066</v>
      </c>
      <c r="B26" t="s">
        <v>9</v>
      </c>
      <c r="C26" t="s">
        <v>8</v>
      </c>
      <c r="D26">
        <v>86</v>
      </c>
      <c r="E26" s="4">
        <v>12.5</v>
      </c>
      <c r="F26" s="4">
        <f>D26*E26</f>
        <v>1075.0</v>
      </c>
    </row>
    <row r="27" spans="1:6">
      <c r="A27" s="2">
        <v>46068</v>
      </c>
      <c r="B27" t="s">
        <v>9</v>
      </c>
      <c r="C27" t="s">
        <v>11</v>
      </c>
      <c r="D27">
        <v>88</v>
      </c>
      <c r="E27" s="4">
        <v>7.25</v>
      </c>
      <c r="F27" s="4">
        <f>D27*E27</f>
        <v>638.0</v>
      </c>
    </row>
    <row r="28" spans="1:6">
      <c r="A28" s="2">
        <v>46070</v>
      </c>
      <c r="B28" t="s">
        <v>7</v>
      </c>
      <c r="C28" t="s">
        <v>11</v>
      </c>
      <c r="D28">
        <v>82</v>
      </c>
      <c r="E28" s="4">
        <v>7.25</v>
      </c>
      <c r="F28" s="4">
        <f>D28*E28</f>
        <v>594.5</v>
      </c>
    </row>
    <row r="29" spans="1:6">
      <c r="A29" s="2">
        <v>46072</v>
      </c>
      <c r="B29" t="s">
        <v>10</v>
      </c>
      <c r="C29" t="s">
        <v>11</v>
      </c>
      <c r="D29">
        <v>94</v>
      </c>
      <c r="E29" s="4">
        <v>7.25</v>
      </c>
      <c r="F29" s="4">
        <f>D29*E29</f>
        <v>681.5</v>
      </c>
    </row>
    <row r="30" spans="1:6">
      <c r="A30" s="2">
        <v>46073</v>
      </c>
      <c r="B30" t="s">
        <v>10</v>
      </c>
      <c r="C30" t="s">
        <v>8</v>
      </c>
      <c r="D30">
        <v>60</v>
      </c>
      <c r="E30" s="4">
        <v>12.5</v>
      </c>
      <c r="F30" s="4">
        <f>D30*E30</f>
        <v>750.0</v>
      </c>
    </row>
    <row r="31" spans="1:6">
      <c r="A31" s="2">
        <v>46075</v>
      </c>
      <c r="B31" t="s">
        <v>12</v>
      </c>
      <c r="C31" t="s">
        <v>13</v>
      </c>
      <c r="D31">
        <v>82</v>
      </c>
      <c r="E31" s="4">
        <v>30</v>
      </c>
      <c r="F31" s="4">
        <f>D31*E31</f>
        <v>2460.0</v>
      </c>
    </row>
    <row r="32" spans="1:6">
      <c r="A32" s="2">
        <v>46077</v>
      </c>
      <c r="B32" t="s">
        <v>10</v>
      </c>
      <c r="C32" t="s">
        <v>11</v>
      </c>
      <c r="D32">
        <v>42</v>
      </c>
      <c r="E32" s="4">
        <v>7.25</v>
      </c>
      <c r="F32" s="4">
        <f>D32*E32</f>
        <v>304.5</v>
      </c>
    </row>
    <row r="33" spans="1:6">
      <c r="A33" s="2">
        <v>46079</v>
      </c>
      <c r="B33" t="s">
        <v>7</v>
      </c>
      <c r="C33" t="s">
        <v>8</v>
      </c>
      <c r="D33">
        <v>5</v>
      </c>
      <c r="E33" s="4">
        <v>12.5</v>
      </c>
      <c r="F33" s="4">
        <f>D33*E33</f>
        <v>62.5</v>
      </c>
    </row>
    <row r="34" spans="1:6">
      <c r="A34" s="2">
        <v>46081</v>
      </c>
      <c r="B34" t="s">
        <v>9</v>
      </c>
      <c r="C34" t="s">
        <v>13</v>
      </c>
      <c r="D34">
        <v>35</v>
      </c>
      <c r="E34" s="4">
        <v>30</v>
      </c>
      <c r="F34" s="4">
        <f>D34*E34</f>
        <v>1050.0</v>
      </c>
    </row>
    <row r="35" spans="1:6">
      <c r="A35" s="2">
        <v>46083</v>
      </c>
      <c r="B35" t="s">
        <v>7</v>
      </c>
      <c r="C35" t="s">
        <v>8</v>
      </c>
      <c r="D35">
        <v>73</v>
      </c>
      <c r="E35" s="4">
        <v>12.5</v>
      </c>
      <c r="F35" s="4">
        <f>D35*E35</f>
        <v>912.5</v>
      </c>
    </row>
    <row r="36" spans="1:6">
      <c r="A36" s="2">
        <v>46084</v>
      </c>
      <c r="B36" t="s">
        <v>9</v>
      </c>
      <c r="C36" t="s">
        <v>8</v>
      </c>
      <c r="D36">
        <v>84</v>
      </c>
      <c r="E36" s="4">
        <v>12.5</v>
      </c>
      <c r="F36" s="4">
        <f>D36*E36</f>
        <v>1050.0</v>
      </c>
    </row>
    <row r="37" spans="1:6">
      <c r="A37" s="2">
        <v>46086</v>
      </c>
      <c r="B37" t="s">
        <v>12</v>
      </c>
      <c r="C37" t="s">
        <v>13</v>
      </c>
      <c r="D37">
        <v>83</v>
      </c>
      <c r="E37" s="4">
        <v>30</v>
      </c>
      <c r="F37" s="4">
        <f>D37*E37</f>
        <v>2490.0</v>
      </c>
    </row>
    <row r="38" spans="1:6">
      <c r="A38" s="2">
        <v>46088</v>
      </c>
      <c r="B38" t="s">
        <v>12</v>
      </c>
      <c r="C38" t="s">
        <v>8</v>
      </c>
      <c r="D38">
        <v>34</v>
      </c>
      <c r="E38" s="4">
        <v>12.5</v>
      </c>
      <c r="F38" s="4">
        <f>D38*E38</f>
        <v>425.0</v>
      </c>
    </row>
    <row r="39" spans="1:6">
      <c r="A39" s="2">
        <v>46090</v>
      </c>
      <c r="B39" t="s">
        <v>10</v>
      </c>
      <c r="C39" t="s">
        <v>8</v>
      </c>
      <c r="D39">
        <v>96</v>
      </c>
      <c r="E39" s="4">
        <v>12.5</v>
      </c>
      <c r="F39" s="4">
        <f>D39*E39</f>
        <v>1200.0</v>
      </c>
    </row>
    <row r="40" spans="1:6">
      <c r="A40" s="2">
        <v>46092</v>
      </c>
      <c r="B40" t="s">
        <v>9</v>
      </c>
      <c r="C40" t="s">
        <v>11</v>
      </c>
      <c r="D40">
        <v>75</v>
      </c>
      <c r="E40" s="4">
        <v>7.25</v>
      </c>
      <c r="F40" s="4">
        <f>D40*E40</f>
        <v>543.75</v>
      </c>
    </row>
    <row r="41" spans="1:6">
      <c r="A41" s="2">
        <v>46093</v>
      </c>
      <c r="B41" t="s">
        <v>12</v>
      </c>
      <c r="C41" t="s">
        <v>11</v>
      </c>
      <c r="D41">
        <v>52</v>
      </c>
      <c r="E41" s="4">
        <v>7.25</v>
      </c>
      <c r="F41" s="4">
        <f>D41*E41</f>
        <v>377.0</v>
      </c>
    </row>
    <row r="42" spans="1:6">
      <c r="A42" s="2">
        <v>46095</v>
      </c>
      <c r="B42" t="s">
        <v>9</v>
      </c>
      <c r="C42" t="s">
        <v>8</v>
      </c>
      <c r="D42">
        <v>18</v>
      </c>
      <c r="E42" s="4">
        <v>12.5</v>
      </c>
      <c r="F42" s="4">
        <f>D42*E42</f>
        <v>225.0</v>
      </c>
    </row>
    <row r="43" spans="1:6">
      <c r="A43" s="2">
        <v>46097</v>
      </c>
      <c r="B43" t="s">
        <v>12</v>
      </c>
      <c r="C43" t="s">
        <v>8</v>
      </c>
      <c r="D43">
        <v>97</v>
      </c>
      <c r="E43" s="4">
        <v>12.5</v>
      </c>
      <c r="F43" s="4">
        <f>D43*E43</f>
        <v>1212.5</v>
      </c>
    </row>
    <row r="44" spans="1:6">
      <c r="A44" s="2">
        <v>46099</v>
      </c>
      <c r="B44" t="s">
        <v>7</v>
      </c>
      <c r="C44" t="s">
        <v>8</v>
      </c>
      <c r="D44">
        <v>20</v>
      </c>
      <c r="E44" s="4">
        <v>12.5</v>
      </c>
      <c r="F44" s="4">
        <f>D44*E44</f>
        <v>250.0</v>
      </c>
    </row>
    <row r="45" spans="1:6">
      <c r="A45" s="2">
        <v>46101</v>
      </c>
      <c r="B45" t="s">
        <v>10</v>
      </c>
      <c r="C45" t="s">
        <v>11</v>
      </c>
      <c r="D45">
        <v>55</v>
      </c>
      <c r="E45" s="4">
        <v>7.25</v>
      </c>
      <c r="F45" s="4">
        <f>D45*E45</f>
        <v>398.75</v>
      </c>
    </row>
    <row r="46" spans="1:6">
      <c r="A46" s="2">
        <v>46103</v>
      </c>
      <c r="B46" t="s">
        <v>7</v>
      </c>
      <c r="C46" t="s">
        <v>13</v>
      </c>
      <c r="D46">
        <v>49</v>
      </c>
      <c r="E46" s="4">
        <v>30</v>
      </c>
      <c r="F46" s="4">
        <f>D46*E46</f>
        <v>1470.0</v>
      </c>
    </row>
    <row r="47" spans="1:6">
      <c r="A47" s="2">
        <v>46104</v>
      </c>
      <c r="B47" t="s">
        <v>12</v>
      </c>
      <c r="C47" t="s">
        <v>11</v>
      </c>
      <c r="D47">
        <v>33</v>
      </c>
      <c r="E47" s="4">
        <v>7.25</v>
      </c>
      <c r="F47" s="4">
        <f>D47*E47</f>
        <v>239.25</v>
      </c>
    </row>
    <row r="48" spans="1:6">
      <c r="A48" s="2">
        <v>46106</v>
      </c>
      <c r="B48" t="s">
        <v>7</v>
      </c>
      <c r="C48" t="s">
        <v>11</v>
      </c>
      <c r="D48">
        <v>93</v>
      </c>
      <c r="E48" s="4">
        <v>7.25</v>
      </c>
      <c r="F48" s="4">
        <f>D48*E48</f>
        <v>674.25</v>
      </c>
    </row>
    <row r="49" spans="1:6">
      <c r="A49" s="2">
        <v>46108</v>
      </c>
      <c r="B49" t="s">
        <v>7</v>
      </c>
      <c r="C49" t="s">
        <v>11</v>
      </c>
      <c r="D49">
        <v>69</v>
      </c>
      <c r="E49" s="4">
        <v>7.25</v>
      </c>
      <c r="F49" s="4">
        <f>D49*E49</f>
        <v>500.25</v>
      </c>
    </row>
    <row r="50" spans="1:6">
      <c r="A50" s="2">
        <v>46110</v>
      </c>
      <c r="B50" t="s">
        <v>9</v>
      </c>
      <c r="C50" t="s">
        <v>11</v>
      </c>
      <c r="D50">
        <v>44</v>
      </c>
      <c r="E50" s="4">
        <v>7.25</v>
      </c>
      <c r="F50" s="4">
        <f>D50*E50</f>
        <v>319.0</v>
      </c>
    </row>
    <row r="51" spans="1:6">
      <c r="A51" s="2">
        <v>46112</v>
      </c>
      <c r="B51" t="s">
        <v>7</v>
      </c>
      <c r="C51" t="s">
        <v>13</v>
      </c>
      <c r="D51">
        <v>56</v>
      </c>
      <c r="E51" s="4">
        <v>30</v>
      </c>
      <c r="F51" s="4">
        <f>D51*E51</f>
        <v>1680.0</v>
      </c>
    </row>
    <row r="52" spans="1:6">
      <c r="A52" s="2">
        <v>46114</v>
      </c>
      <c r="B52" t="s">
        <v>10</v>
      </c>
      <c r="C52" t="s">
        <v>13</v>
      </c>
      <c r="D52">
        <v>1</v>
      </c>
      <c r="E52" s="4">
        <v>30</v>
      </c>
      <c r="F52" s="4">
        <f>D52*E52</f>
        <v>30.0</v>
      </c>
    </row>
    <row r="53" spans="1:6">
      <c r="A53" s="2">
        <v>46115</v>
      </c>
      <c r="B53" t="s">
        <v>9</v>
      </c>
      <c r="C53" t="s">
        <v>11</v>
      </c>
      <c r="D53">
        <v>98</v>
      </c>
      <c r="E53" s="4">
        <v>7.25</v>
      </c>
      <c r="F53" s="4">
        <f>D53*E53</f>
        <v>710.5</v>
      </c>
    </row>
    <row r="54" spans="1:6">
      <c r="A54" s="2">
        <v>46117</v>
      </c>
      <c r="B54" t="s">
        <v>10</v>
      </c>
      <c r="C54" t="s">
        <v>11</v>
      </c>
      <c r="D54">
        <v>14</v>
      </c>
      <c r="E54" s="4">
        <v>7.25</v>
      </c>
      <c r="F54" s="4">
        <f>D54*E54</f>
        <v>101.5</v>
      </c>
    </row>
    <row r="55" spans="1:6">
      <c r="A55" s="2">
        <v>46119</v>
      </c>
      <c r="B55" t="s">
        <v>9</v>
      </c>
      <c r="C55" t="s">
        <v>11</v>
      </c>
      <c r="D55">
        <v>65</v>
      </c>
      <c r="E55" s="4">
        <v>7.25</v>
      </c>
      <c r="F55" s="4">
        <f>D55*E55</f>
        <v>471.25</v>
      </c>
    </row>
    <row r="56" spans="1:6">
      <c r="A56" s="2">
        <v>46121</v>
      </c>
      <c r="B56" t="s">
        <v>10</v>
      </c>
      <c r="C56" t="s">
        <v>8</v>
      </c>
      <c r="D56">
        <v>48</v>
      </c>
      <c r="E56" s="4">
        <v>12.5</v>
      </c>
      <c r="F56" s="4">
        <f>D56*E56</f>
        <v>600.0</v>
      </c>
    </row>
    <row r="57" spans="1:6">
      <c r="A57" s="2">
        <v>46123</v>
      </c>
      <c r="B57" t="s">
        <v>10</v>
      </c>
      <c r="C57" t="s">
        <v>11</v>
      </c>
      <c r="D57">
        <v>68</v>
      </c>
      <c r="E57" s="4">
        <v>7.25</v>
      </c>
      <c r="F57" s="4">
        <f>D57*E57</f>
        <v>493.0</v>
      </c>
    </row>
    <row r="58" spans="1:6">
      <c r="A58" s="2">
        <v>46124</v>
      </c>
      <c r="B58" t="s">
        <v>7</v>
      </c>
      <c r="C58" t="s">
        <v>11</v>
      </c>
      <c r="D58">
        <v>42</v>
      </c>
      <c r="E58" s="4">
        <v>7.25</v>
      </c>
      <c r="F58" s="4">
        <f>D58*E58</f>
        <v>304.5</v>
      </c>
    </row>
    <row r="59" spans="1:6">
      <c r="A59" s="2">
        <v>46126</v>
      </c>
      <c r="B59" t="s">
        <v>12</v>
      </c>
      <c r="C59" t="s">
        <v>8</v>
      </c>
      <c r="D59">
        <v>15</v>
      </c>
      <c r="E59" s="4">
        <v>12.5</v>
      </c>
      <c r="F59" s="4">
        <f>D59*E59</f>
        <v>187.5</v>
      </c>
    </row>
    <row r="60" spans="1:6">
      <c r="A60" s="2">
        <v>46128</v>
      </c>
      <c r="B60" t="s">
        <v>9</v>
      </c>
      <c r="C60" t="s">
        <v>13</v>
      </c>
      <c r="D60">
        <v>31</v>
      </c>
      <c r="E60" s="4">
        <v>30</v>
      </c>
      <c r="F60" s="4">
        <f>D60*E60</f>
        <v>930.0</v>
      </c>
    </row>
    <row r="61" spans="1:6">
      <c r="A61" s="2">
        <v>46130</v>
      </c>
      <c r="B61" t="s">
        <v>7</v>
      </c>
      <c r="C61" t="s">
        <v>8</v>
      </c>
      <c r="D61">
        <v>73</v>
      </c>
      <c r="E61" s="4">
        <v>12.5</v>
      </c>
      <c r="F61" s="4">
        <f>D61*E61</f>
        <v>912.5</v>
      </c>
    </row>
    <row r="62" spans="1:6">
      <c r="A62" s="2">
        <v>46132</v>
      </c>
      <c r="B62" t="s">
        <v>7</v>
      </c>
      <c r="C62" t="s">
        <v>8</v>
      </c>
      <c r="D62">
        <v>94</v>
      </c>
      <c r="E62" s="4">
        <v>12.5</v>
      </c>
      <c r="F62" s="4">
        <f>D62*E62</f>
        <v>1175.0</v>
      </c>
    </row>
    <row r="63" spans="1:6">
      <c r="A63" s="2">
        <v>46134</v>
      </c>
      <c r="B63" t="s">
        <v>12</v>
      </c>
      <c r="C63" t="s">
        <v>8</v>
      </c>
      <c r="D63">
        <v>98</v>
      </c>
      <c r="E63" s="4">
        <v>12.5</v>
      </c>
      <c r="F63" s="4">
        <f>D63*E63</f>
        <v>1225.0</v>
      </c>
    </row>
    <row r="64" spans="1:6">
      <c r="A64" s="2">
        <v>46135</v>
      </c>
      <c r="B64" t="s">
        <v>10</v>
      </c>
      <c r="C64" t="s">
        <v>8</v>
      </c>
      <c r="D64">
        <v>85</v>
      </c>
      <c r="E64" s="4">
        <v>12.5</v>
      </c>
      <c r="F64" s="4">
        <f>D64*E64</f>
        <v>1062.5</v>
      </c>
    </row>
    <row r="65" spans="1:6">
      <c r="A65" s="2">
        <v>46137</v>
      </c>
      <c r="B65" t="s">
        <v>12</v>
      </c>
      <c r="C65" t="s">
        <v>11</v>
      </c>
      <c r="D65">
        <v>22</v>
      </c>
      <c r="E65" s="4">
        <v>7.25</v>
      </c>
      <c r="F65" s="4">
        <f>D65*E65</f>
        <v>159.5</v>
      </c>
    </row>
    <row r="66" spans="1:6">
      <c r="A66" s="2">
        <v>46139</v>
      </c>
      <c r="B66" t="s">
        <v>9</v>
      </c>
      <c r="C66" t="s">
        <v>11</v>
      </c>
      <c r="D66">
        <v>78</v>
      </c>
      <c r="E66" s="4">
        <v>7.25</v>
      </c>
      <c r="F66" s="4">
        <f>D66*E66</f>
        <v>565.5</v>
      </c>
    </row>
    <row r="67" spans="1:6">
      <c r="A67" s="2">
        <v>46141</v>
      </c>
      <c r="B67" t="s">
        <v>12</v>
      </c>
      <c r="C67" t="s">
        <v>8</v>
      </c>
      <c r="D67">
        <v>70</v>
      </c>
      <c r="E67" s="4">
        <v>12.5</v>
      </c>
      <c r="F67" s="4">
        <f>D67*E67</f>
        <v>875.0</v>
      </c>
    </row>
    <row r="68" spans="1:6">
      <c r="A68" s="2">
        <v>46143</v>
      </c>
      <c r="B68" t="s">
        <v>10</v>
      </c>
      <c r="C68" t="s">
        <v>11</v>
      </c>
      <c r="D68">
        <v>40</v>
      </c>
      <c r="E68" s="4">
        <v>7.25</v>
      </c>
      <c r="F68" s="4">
        <f>D68*E68</f>
        <v>290.0</v>
      </c>
    </row>
    <row r="69" spans="1:6">
      <c r="A69" s="2">
        <v>46144</v>
      </c>
      <c r="B69" t="s">
        <v>12</v>
      </c>
      <c r="C69" t="s">
        <v>11</v>
      </c>
      <c r="D69">
        <v>84</v>
      </c>
      <c r="E69" s="4">
        <v>7.25</v>
      </c>
      <c r="F69" s="4">
        <f>D69*E69</f>
        <v>609.0</v>
      </c>
    </row>
    <row r="70" spans="1:6">
      <c r="A70" s="2">
        <v>46146</v>
      </c>
      <c r="B70" t="s">
        <v>9</v>
      </c>
      <c r="C70" t="s">
        <v>13</v>
      </c>
      <c r="D70">
        <v>67</v>
      </c>
      <c r="E70" s="4">
        <v>30</v>
      </c>
      <c r="F70" s="4">
        <f>D70*E70</f>
        <v>2010.0</v>
      </c>
    </row>
    <row r="71" spans="1:6">
      <c r="A71" s="2">
        <v>46148</v>
      </c>
      <c r="B71" t="s">
        <v>12</v>
      </c>
      <c r="C71" t="s">
        <v>8</v>
      </c>
      <c r="D71">
        <v>32</v>
      </c>
      <c r="E71" s="4">
        <v>12.5</v>
      </c>
      <c r="F71" s="4">
        <f>D71*E71</f>
        <v>400.0</v>
      </c>
    </row>
    <row r="72" spans="1:6">
      <c r="A72" s="2">
        <v>46150</v>
      </c>
      <c r="B72" t="s">
        <v>10</v>
      </c>
      <c r="C72" t="s">
        <v>8</v>
      </c>
      <c r="D72">
        <v>44</v>
      </c>
      <c r="E72" s="4">
        <v>12.5</v>
      </c>
      <c r="F72" s="4">
        <f>D72*E72</f>
        <v>550.0</v>
      </c>
    </row>
    <row r="73" spans="1:6">
      <c r="A73" s="2">
        <v>46152</v>
      </c>
      <c r="B73" t="s">
        <v>7</v>
      </c>
      <c r="C73" t="s">
        <v>11</v>
      </c>
      <c r="D73">
        <v>71</v>
      </c>
      <c r="E73" s="4">
        <v>7.25</v>
      </c>
      <c r="F73" s="4">
        <f>D73*E73</f>
        <v>514.75</v>
      </c>
    </row>
    <row r="74" spans="1:6">
      <c r="A74" s="2">
        <v>46154</v>
      </c>
      <c r="B74" t="s">
        <v>10</v>
      </c>
      <c r="C74" t="s">
        <v>11</v>
      </c>
      <c r="D74">
        <v>29</v>
      </c>
      <c r="E74" s="4">
        <v>7.25</v>
      </c>
      <c r="F74" s="4">
        <f>D74*E74</f>
        <v>210.25</v>
      </c>
    </row>
    <row r="75" spans="1:6">
      <c r="A75" s="2">
        <v>46155</v>
      </c>
      <c r="B75" t="s">
        <v>7</v>
      </c>
      <c r="C75" t="s">
        <v>8</v>
      </c>
      <c r="D75">
        <v>91</v>
      </c>
      <c r="E75" s="4">
        <v>12.5</v>
      </c>
      <c r="F75" s="4">
        <f>D75*E75</f>
        <v>1137.5</v>
      </c>
    </row>
    <row r="76" spans="1:6">
      <c r="A76" s="2">
        <v>46157</v>
      </c>
      <c r="B76" t="s">
        <v>7</v>
      </c>
      <c r="C76" t="s">
        <v>8</v>
      </c>
      <c r="D76">
        <v>9</v>
      </c>
      <c r="E76" s="4">
        <v>12.5</v>
      </c>
      <c r="F76" s="4">
        <f>D76*E76</f>
        <v>112.5</v>
      </c>
    </row>
    <row r="77" spans="1:6">
      <c r="A77" s="2">
        <v>46159</v>
      </c>
      <c r="B77" t="s">
        <v>7</v>
      </c>
      <c r="C77" t="s">
        <v>13</v>
      </c>
      <c r="D77">
        <v>10</v>
      </c>
      <c r="E77" s="4">
        <v>30</v>
      </c>
      <c r="F77" s="4">
        <f>D77*E77</f>
        <v>300.0</v>
      </c>
    </row>
    <row r="78" spans="1:6">
      <c r="A78" s="2">
        <v>46161</v>
      </c>
      <c r="B78" t="s">
        <v>10</v>
      </c>
      <c r="C78" t="s">
        <v>13</v>
      </c>
      <c r="D78">
        <v>86</v>
      </c>
      <c r="E78" s="4">
        <v>30</v>
      </c>
      <c r="F78" s="4">
        <f>D78*E78</f>
        <v>2580.0</v>
      </c>
    </row>
    <row r="79" spans="1:6">
      <c r="A79" s="2">
        <v>46163</v>
      </c>
      <c r="B79" t="s">
        <v>12</v>
      </c>
      <c r="C79" t="s">
        <v>8</v>
      </c>
      <c r="D79">
        <v>70</v>
      </c>
      <c r="E79" s="4">
        <v>12.5</v>
      </c>
      <c r="F79" s="4">
        <f>D79*E79</f>
        <v>875.0</v>
      </c>
    </row>
    <row r="80" spans="1:6">
      <c r="A80" s="2">
        <v>46164</v>
      </c>
      <c r="B80" t="s">
        <v>10</v>
      </c>
      <c r="C80" t="s">
        <v>11</v>
      </c>
      <c r="D80">
        <v>74</v>
      </c>
      <c r="E80" s="4">
        <v>7.25</v>
      </c>
      <c r="F80" s="4">
        <f>D80*E80</f>
        <v>536.5</v>
      </c>
    </row>
    <row r="81" spans="1:6">
      <c r="A81" s="2">
        <v>46166</v>
      </c>
      <c r="B81" t="s">
        <v>12</v>
      </c>
      <c r="C81" t="s">
        <v>8</v>
      </c>
      <c r="D81">
        <v>61</v>
      </c>
      <c r="E81" s="4">
        <v>12.5</v>
      </c>
      <c r="F81" s="4">
        <f>D81*E81</f>
        <v>762.5</v>
      </c>
    </row>
    <row r="82" spans="1:6">
      <c r="A82" s="2">
        <v>46168</v>
      </c>
      <c r="B82" t="s">
        <v>12</v>
      </c>
      <c r="C82" t="s">
        <v>8</v>
      </c>
      <c r="D82">
        <v>13</v>
      </c>
      <c r="E82" s="4">
        <v>12.5</v>
      </c>
      <c r="F82" s="4">
        <f>D82*E82</f>
        <v>162.5</v>
      </c>
    </row>
    <row r="83" spans="1:6">
      <c r="A83" s="2">
        <v>46170</v>
      </c>
      <c r="B83" t="s">
        <v>7</v>
      </c>
      <c r="C83" t="s">
        <v>11</v>
      </c>
      <c r="D83">
        <v>56</v>
      </c>
      <c r="E83" s="4">
        <v>7.25</v>
      </c>
      <c r="F83" s="4">
        <f>D83*E83</f>
        <v>406.0</v>
      </c>
    </row>
    <row r="84" spans="1:6">
      <c r="A84" s="2">
        <v>46172</v>
      </c>
      <c r="B84" t="s">
        <v>9</v>
      </c>
      <c r="C84" t="s">
        <v>13</v>
      </c>
      <c r="D84">
        <v>53</v>
      </c>
      <c r="E84" s="4">
        <v>30</v>
      </c>
      <c r="F84" s="4">
        <f>D84*E84</f>
        <v>1590.0</v>
      </c>
    </row>
    <row r="85" spans="1:6">
      <c r="A85" s="2">
        <v>46174</v>
      </c>
      <c r="B85" t="s">
        <v>12</v>
      </c>
      <c r="C85" t="s">
        <v>11</v>
      </c>
      <c r="D85">
        <v>7</v>
      </c>
      <c r="E85" s="4">
        <v>7.25</v>
      </c>
      <c r="F85" s="4">
        <f>D85*E85</f>
        <v>50.75</v>
      </c>
    </row>
    <row r="86" spans="1:6">
      <c r="A86" s="2">
        <v>46175</v>
      </c>
      <c r="B86" t="s">
        <v>7</v>
      </c>
      <c r="C86" t="s">
        <v>8</v>
      </c>
      <c r="D86">
        <v>52</v>
      </c>
      <c r="E86" s="4">
        <v>12.5</v>
      </c>
      <c r="F86" s="4">
        <f>D86*E86</f>
        <v>650.0</v>
      </c>
    </row>
    <row r="87" spans="1:6">
      <c r="A87" s="2">
        <v>46177</v>
      </c>
      <c r="B87" t="s">
        <v>9</v>
      </c>
      <c r="C87" t="s">
        <v>8</v>
      </c>
      <c r="D87">
        <v>32</v>
      </c>
      <c r="E87" s="4">
        <v>12.5</v>
      </c>
      <c r="F87" s="4">
        <f>D87*E87</f>
        <v>400.0</v>
      </c>
    </row>
    <row r="88" spans="1:6">
      <c r="A88" s="2">
        <v>46179</v>
      </c>
      <c r="B88" t="s">
        <v>10</v>
      </c>
      <c r="C88" t="s">
        <v>8</v>
      </c>
      <c r="D88">
        <v>69</v>
      </c>
      <c r="E88" s="4">
        <v>12.5</v>
      </c>
      <c r="F88" s="4">
        <f>D88*E88</f>
        <v>862.5</v>
      </c>
    </row>
    <row r="89" spans="1:6">
      <c r="A89" s="2">
        <v>46181</v>
      </c>
      <c r="B89" t="s">
        <v>12</v>
      </c>
      <c r="C89" t="s">
        <v>8</v>
      </c>
      <c r="D89">
        <v>55</v>
      </c>
      <c r="E89" s="4">
        <v>12.5</v>
      </c>
      <c r="F89" s="4">
        <f>D89*E89</f>
        <v>687.5</v>
      </c>
    </row>
    <row r="90" spans="1:6">
      <c r="A90" s="2">
        <v>46183</v>
      </c>
      <c r="B90" t="s">
        <v>10</v>
      </c>
      <c r="C90" t="s">
        <v>13</v>
      </c>
      <c r="D90">
        <v>60</v>
      </c>
      <c r="E90" s="4">
        <v>30</v>
      </c>
      <c r="F90" s="4">
        <f>D90*E90</f>
        <v>1800.0</v>
      </c>
    </row>
    <row r="91" spans="1:6">
      <c r="A91" s="2">
        <v>46184</v>
      </c>
      <c r="B91" t="s">
        <v>10</v>
      </c>
      <c r="C91" t="s">
        <v>8</v>
      </c>
      <c r="D91">
        <v>57</v>
      </c>
      <c r="E91" s="4">
        <v>12.5</v>
      </c>
      <c r="F91" s="4">
        <f>D91*E91</f>
        <v>712.5</v>
      </c>
    </row>
    <row r="92" spans="1:6">
      <c r="A92" s="2">
        <v>46186</v>
      </c>
      <c r="B92" t="s">
        <v>7</v>
      </c>
      <c r="C92" t="s">
        <v>8</v>
      </c>
      <c r="D92">
        <v>84</v>
      </c>
      <c r="E92" s="4">
        <v>12.5</v>
      </c>
      <c r="F92" s="4">
        <f>D92*E92</f>
        <v>1050.0</v>
      </c>
    </row>
    <row r="93" spans="1:6">
      <c r="A93" s="2">
        <v>46188</v>
      </c>
      <c r="B93" t="s">
        <v>7</v>
      </c>
      <c r="C93" t="s">
        <v>8</v>
      </c>
      <c r="D93">
        <v>97</v>
      </c>
      <c r="E93" s="4">
        <v>12.5</v>
      </c>
      <c r="F93" s="4">
        <f>D93*E93</f>
        <v>1212.5</v>
      </c>
    </row>
    <row r="94" spans="1:6">
      <c r="A94" s="2">
        <v>46190</v>
      </c>
      <c r="B94" t="s">
        <v>10</v>
      </c>
      <c r="C94" t="s">
        <v>8</v>
      </c>
      <c r="D94">
        <v>53</v>
      </c>
      <c r="E94" s="4">
        <v>12.5</v>
      </c>
      <c r="F94" s="4">
        <f>D94*E94</f>
        <v>662.5</v>
      </c>
    </row>
    <row r="95" spans="1:6">
      <c r="A95" s="2">
        <v>46192</v>
      </c>
      <c r="B95" t="s">
        <v>12</v>
      </c>
      <c r="C95" t="s">
        <v>13</v>
      </c>
      <c r="D95">
        <v>28</v>
      </c>
      <c r="E95" s="4">
        <v>30</v>
      </c>
      <c r="F95" s="4">
        <f>D95*E95</f>
        <v>840.0</v>
      </c>
    </row>
    <row r="96" spans="1:6">
      <c r="A96" s="2">
        <v>46194</v>
      </c>
      <c r="B96" t="s">
        <v>12</v>
      </c>
      <c r="C96" t="s">
        <v>8</v>
      </c>
      <c r="D96">
        <v>22</v>
      </c>
      <c r="E96" s="4">
        <v>12.5</v>
      </c>
      <c r="F96" s="4">
        <f>D96*E96</f>
        <v>275.0</v>
      </c>
    </row>
    <row r="97" spans="1:6">
      <c r="A97" s="2">
        <v>46195</v>
      </c>
      <c r="B97" t="s">
        <v>12</v>
      </c>
      <c r="C97" t="s">
        <v>8</v>
      </c>
      <c r="D97">
        <v>50</v>
      </c>
      <c r="E97" s="4">
        <v>12.5</v>
      </c>
      <c r="F97" s="4">
        <f>D97*E97</f>
        <v>625.0</v>
      </c>
    </row>
    <row r="98" spans="1:6">
      <c r="A98" s="2">
        <v>46197</v>
      </c>
      <c r="B98" t="s">
        <v>9</v>
      </c>
      <c r="C98" t="s">
        <v>13</v>
      </c>
      <c r="D98">
        <v>37</v>
      </c>
      <c r="E98" s="4">
        <v>30</v>
      </c>
      <c r="F98" s="4">
        <f>D98*E98</f>
        <v>1110.0</v>
      </c>
    </row>
    <row r="99" spans="1:6">
      <c r="A99" s="2">
        <v>46199</v>
      </c>
      <c r="B99" t="s">
        <v>12</v>
      </c>
      <c r="C99" t="s">
        <v>11</v>
      </c>
      <c r="D99">
        <v>94</v>
      </c>
      <c r="E99" s="4">
        <v>7.25</v>
      </c>
      <c r="F99" s="4">
        <f>D99*E99</f>
        <v>681.5</v>
      </c>
    </row>
    <row r="100" spans="1:6">
      <c r="A100" s="2">
        <v>46201</v>
      </c>
      <c r="B100" t="s">
        <v>12</v>
      </c>
      <c r="C100" t="s">
        <v>8</v>
      </c>
      <c r="D100">
        <v>25</v>
      </c>
      <c r="E100" s="4">
        <v>12.5</v>
      </c>
      <c r="F100" s="4">
        <f>D100*E100</f>
        <v>312.5</v>
      </c>
    </row>
    <row r="101" spans="1:6">
      <c r="A101" s="2">
        <v>46203</v>
      </c>
      <c r="B101" t="s">
        <v>9</v>
      </c>
      <c r="C101" t="s">
        <v>8</v>
      </c>
      <c r="D101">
        <v>8</v>
      </c>
      <c r="E101" s="4">
        <v>12.5</v>
      </c>
      <c r="F101" s="4">
        <f>D101*E101</f>
        <v>100.0</v>
      </c>
    </row>
    <row r="102" spans="1:6">
      <c r="A102" s="2">
        <v>46205</v>
      </c>
      <c r="B102" t="s">
        <v>7</v>
      </c>
      <c r="C102" t="s">
        <v>11</v>
      </c>
      <c r="D102">
        <v>41</v>
      </c>
      <c r="E102" s="4">
        <v>7.25</v>
      </c>
      <c r="F102" s="4">
        <f>D102*E102</f>
        <v>297.25</v>
      </c>
    </row>
    <row r="103" spans="1:6">
      <c r="A103" s="2">
        <v>46206</v>
      </c>
      <c r="B103" t="s">
        <v>7</v>
      </c>
      <c r="C103" t="s">
        <v>8</v>
      </c>
      <c r="D103">
        <v>75</v>
      </c>
      <c r="E103" s="4">
        <v>12.5</v>
      </c>
      <c r="F103" s="4">
        <f>D103*E103</f>
        <v>937.5</v>
      </c>
    </row>
    <row r="104" spans="1:6">
      <c r="A104" s="2">
        <v>46208</v>
      </c>
      <c r="B104" t="s">
        <v>12</v>
      </c>
      <c r="C104" t="s">
        <v>11</v>
      </c>
      <c r="D104">
        <v>68</v>
      </c>
      <c r="E104" s="4">
        <v>7.25</v>
      </c>
      <c r="F104" s="4">
        <f>D104*E104</f>
        <v>493.0</v>
      </c>
    </row>
    <row r="105" spans="1:6">
      <c r="A105" s="2">
        <v>46210</v>
      </c>
      <c r="B105" t="s">
        <v>10</v>
      </c>
      <c r="C105" t="s">
        <v>8</v>
      </c>
      <c r="D105">
        <v>66</v>
      </c>
      <c r="E105" s="4">
        <v>12.5</v>
      </c>
      <c r="F105" s="4">
        <f>D105*E105</f>
        <v>825.0</v>
      </c>
    </row>
    <row r="106" spans="1:6">
      <c r="A106" s="2">
        <v>46212</v>
      </c>
      <c r="B106" t="s">
        <v>7</v>
      </c>
      <c r="C106" t="s">
        <v>8</v>
      </c>
      <c r="D106">
        <v>9</v>
      </c>
      <c r="E106" s="4">
        <v>12.5</v>
      </c>
      <c r="F106" s="4">
        <f>D106*E106</f>
        <v>112.5</v>
      </c>
    </row>
    <row r="107" spans="1:6">
      <c r="A107" s="2">
        <v>46214</v>
      </c>
      <c r="B107" t="s">
        <v>7</v>
      </c>
      <c r="C107" t="s">
        <v>11</v>
      </c>
      <c r="D107">
        <v>31</v>
      </c>
      <c r="E107" s="4">
        <v>7.25</v>
      </c>
      <c r="F107" s="4">
        <f>D107*E107</f>
        <v>224.75</v>
      </c>
    </row>
    <row r="108" spans="1:6">
      <c r="A108" s="2">
        <v>46215</v>
      </c>
      <c r="B108" t="s">
        <v>12</v>
      </c>
      <c r="C108" t="s">
        <v>8</v>
      </c>
      <c r="D108">
        <v>73</v>
      </c>
      <c r="E108" s="4">
        <v>12.5</v>
      </c>
      <c r="F108" s="4">
        <f>D108*E108</f>
        <v>912.5</v>
      </c>
    </row>
    <row r="109" spans="1:6">
      <c r="A109" s="2">
        <v>46217</v>
      </c>
      <c r="B109" t="s">
        <v>10</v>
      </c>
      <c r="C109" t="s">
        <v>11</v>
      </c>
      <c r="D109">
        <v>77</v>
      </c>
      <c r="E109" s="4">
        <v>7.25</v>
      </c>
      <c r="F109" s="4">
        <f>D109*E109</f>
        <v>558.25</v>
      </c>
    </row>
    <row r="110" spans="1:6">
      <c r="A110" s="2">
        <v>46219</v>
      </c>
      <c r="B110" t="s">
        <v>7</v>
      </c>
      <c r="C110" t="s">
        <v>11</v>
      </c>
      <c r="D110">
        <v>11</v>
      </c>
      <c r="E110" s="4">
        <v>7.25</v>
      </c>
      <c r="F110" s="4">
        <f>D110*E110</f>
        <v>79.75</v>
      </c>
    </row>
    <row r="111" spans="1:6">
      <c r="A111" s="2">
        <v>46221</v>
      </c>
      <c r="B111" t="s">
        <v>12</v>
      </c>
      <c r="C111" t="s">
        <v>11</v>
      </c>
      <c r="D111">
        <v>75</v>
      </c>
      <c r="E111" s="4">
        <v>7.25</v>
      </c>
      <c r="F111" s="4">
        <f>D111*E111</f>
        <v>543.75</v>
      </c>
    </row>
    <row r="112" spans="1:6">
      <c r="A112" s="2">
        <v>46223</v>
      </c>
      <c r="B112" t="s">
        <v>9</v>
      </c>
      <c r="C112" t="s">
        <v>13</v>
      </c>
      <c r="D112">
        <v>27</v>
      </c>
      <c r="E112" s="4">
        <v>30</v>
      </c>
      <c r="F112" s="4">
        <f>D112*E112</f>
        <v>810.0</v>
      </c>
    </row>
    <row r="113" spans="1:6">
      <c r="A113" s="2">
        <v>46225</v>
      </c>
      <c r="B113" t="s">
        <v>9</v>
      </c>
      <c r="C113" t="s">
        <v>8</v>
      </c>
      <c r="D113">
        <v>34</v>
      </c>
      <c r="E113" s="4">
        <v>12.5</v>
      </c>
      <c r="F113" s="4">
        <f>D113*E113</f>
        <v>425.0</v>
      </c>
    </row>
    <row r="114" spans="1:6">
      <c r="A114" s="2">
        <v>46226</v>
      </c>
      <c r="B114" t="s">
        <v>12</v>
      </c>
      <c r="C114" t="s">
        <v>8</v>
      </c>
      <c r="D114">
        <v>86</v>
      </c>
      <c r="E114" s="4">
        <v>12.5</v>
      </c>
      <c r="F114" s="4">
        <f>D114*E114</f>
        <v>1075.0</v>
      </c>
    </row>
    <row r="115" spans="1:6">
      <c r="A115" s="2">
        <v>46228</v>
      </c>
      <c r="B115" t="s">
        <v>9</v>
      </c>
      <c r="C115" t="s">
        <v>13</v>
      </c>
      <c r="D115">
        <v>41</v>
      </c>
      <c r="E115" s="4">
        <v>30</v>
      </c>
      <c r="F115" s="4">
        <f>D115*E115</f>
        <v>1230.0</v>
      </c>
    </row>
    <row r="116" spans="1:6">
      <c r="A116" s="2">
        <v>46230</v>
      </c>
      <c r="B116" t="s">
        <v>7</v>
      </c>
      <c r="C116" t="s">
        <v>8</v>
      </c>
      <c r="D116">
        <v>59</v>
      </c>
      <c r="E116" s="4">
        <v>12.5</v>
      </c>
      <c r="F116" s="4">
        <f>D116*E116</f>
        <v>737.5</v>
      </c>
    </row>
    <row r="117" spans="1:6">
      <c r="A117" s="2">
        <v>46232</v>
      </c>
      <c r="B117" t="s">
        <v>7</v>
      </c>
      <c r="C117" t="s">
        <v>8</v>
      </c>
      <c r="D117">
        <v>69</v>
      </c>
      <c r="E117" s="4">
        <v>12.5</v>
      </c>
      <c r="F117" s="4">
        <f>D117*E117</f>
        <v>862.5</v>
      </c>
    </row>
    <row r="118" spans="1:6">
      <c r="A118" s="2">
        <v>46234</v>
      </c>
      <c r="B118" t="s">
        <v>10</v>
      </c>
      <c r="C118" t="s">
        <v>11</v>
      </c>
      <c r="D118">
        <v>34</v>
      </c>
      <c r="E118" s="4">
        <v>7.25</v>
      </c>
      <c r="F118" s="4">
        <f>D118*E118</f>
        <v>246.5</v>
      </c>
    </row>
    <row r="119" spans="1:6">
      <c r="A119" s="2">
        <v>46235</v>
      </c>
      <c r="B119" t="s">
        <v>10</v>
      </c>
      <c r="C119" t="s">
        <v>13</v>
      </c>
      <c r="D119">
        <v>9</v>
      </c>
      <c r="E119" s="4">
        <v>30</v>
      </c>
      <c r="F119" s="4">
        <f>D119*E119</f>
        <v>270.0</v>
      </c>
    </row>
    <row r="120" spans="1:6">
      <c r="A120" s="2">
        <v>46237</v>
      </c>
      <c r="B120" t="s">
        <v>10</v>
      </c>
      <c r="C120" t="s">
        <v>13</v>
      </c>
      <c r="D120">
        <v>37</v>
      </c>
      <c r="E120" s="4">
        <v>30</v>
      </c>
      <c r="F120" s="4">
        <f>D120*E120</f>
        <v>1110.0</v>
      </c>
    </row>
    <row r="121" spans="1:6">
      <c r="A121" s="2">
        <v>46239</v>
      </c>
      <c r="B121" t="s">
        <v>10</v>
      </c>
      <c r="C121" t="s">
        <v>13</v>
      </c>
      <c r="D121">
        <v>70</v>
      </c>
      <c r="E121" s="4">
        <v>30</v>
      </c>
      <c r="F121" s="4">
        <f>D121*E121</f>
        <v>2100.0</v>
      </c>
    </row>
    <row r="122" spans="1:6">
      <c r="A122" s="2">
        <v>46241</v>
      </c>
      <c r="B122" t="s">
        <v>9</v>
      </c>
      <c r="C122" t="s">
        <v>11</v>
      </c>
      <c r="D122">
        <v>84</v>
      </c>
      <c r="E122" s="4">
        <v>7.25</v>
      </c>
      <c r="F122" s="4">
        <f>D122*E122</f>
        <v>609.0</v>
      </c>
    </row>
    <row r="123" spans="1:6">
      <c r="A123" s="2">
        <v>46243</v>
      </c>
      <c r="B123" t="s">
        <v>7</v>
      </c>
      <c r="C123" t="s">
        <v>11</v>
      </c>
      <c r="D123">
        <v>71</v>
      </c>
      <c r="E123" s="4">
        <v>7.25</v>
      </c>
      <c r="F123" s="4">
        <f>D123*E123</f>
        <v>514.75</v>
      </c>
    </row>
    <row r="124" spans="1:6">
      <c r="A124" s="2">
        <v>46245</v>
      </c>
      <c r="B124" t="s">
        <v>9</v>
      </c>
      <c r="C124" t="s">
        <v>11</v>
      </c>
      <c r="D124">
        <v>14</v>
      </c>
      <c r="E124" s="4">
        <v>7.25</v>
      </c>
      <c r="F124" s="4">
        <f>D124*E124</f>
        <v>101.5</v>
      </c>
    </row>
    <row r="125" spans="1:6">
      <c r="A125" s="2">
        <v>46246</v>
      </c>
      <c r="B125" t="s">
        <v>10</v>
      </c>
      <c r="C125" t="s">
        <v>13</v>
      </c>
      <c r="D125">
        <v>15</v>
      </c>
      <c r="E125" s="4">
        <v>30</v>
      </c>
      <c r="F125" s="4">
        <f>D125*E125</f>
        <v>450.0</v>
      </c>
    </row>
    <row r="126" spans="1:6">
      <c r="A126" s="2">
        <v>46248</v>
      </c>
      <c r="B126" t="s">
        <v>7</v>
      </c>
      <c r="C126" t="s">
        <v>11</v>
      </c>
      <c r="D126">
        <v>71</v>
      </c>
      <c r="E126" s="4">
        <v>7.25</v>
      </c>
      <c r="F126" s="4">
        <f>D126*E126</f>
        <v>514.75</v>
      </c>
    </row>
    <row r="127" spans="1:6">
      <c r="A127" s="2">
        <v>46250</v>
      </c>
      <c r="B127" t="s">
        <v>10</v>
      </c>
      <c r="C127" t="s">
        <v>13</v>
      </c>
      <c r="D127">
        <v>37</v>
      </c>
      <c r="E127" s="4">
        <v>30</v>
      </c>
      <c r="F127" s="4">
        <f>D127*E127</f>
        <v>1110.0</v>
      </c>
    </row>
    <row r="128" spans="1:6">
      <c r="A128" s="2">
        <v>46252</v>
      </c>
      <c r="B128" t="s">
        <v>10</v>
      </c>
      <c r="C128" t="s">
        <v>11</v>
      </c>
      <c r="D128">
        <v>44</v>
      </c>
      <c r="E128" s="4">
        <v>7.25</v>
      </c>
      <c r="F128" s="4">
        <f>D128*E128</f>
        <v>319.0</v>
      </c>
    </row>
    <row r="129" spans="1:6">
      <c r="A129" s="2">
        <v>46254</v>
      </c>
      <c r="B129" t="s">
        <v>10</v>
      </c>
      <c r="C129" t="s">
        <v>11</v>
      </c>
      <c r="D129">
        <v>82</v>
      </c>
      <c r="E129" s="4">
        <v>7.25</v>
      </c>
      <c r="F129" s="4">
        <f>D129*E129</f>
        <v>594.5</v>
      </c>
    </row>
    <row r="130" spans="1:6">
      <c r="A130" s="2">
        <v>46255</v>
      </c>
      <c r="B130" t="s">
        <v>9</v>
      </c>
      <c r="C130" t="s">
        <v>11</v>
      </c>
      <c r="D130">
        <v>63</v>
      </c>
      <c r="E130" s="4">
        <v>7.25</v>
      </c>
      <c r="F130" s="4">
        <f>D130*E130</f>
        <v>456.75</v>
      </c>
    </row>
    <row r="131" spans="1:6">
      <c r="A131" s="2">
        <v>46257</v>
      </c>
      <c r="B131" t="s">
        <v>9</v>
      </c>
      <c r="C131" t="s">
        <v>8</v>
      </c>
      <c r="D131">
        <v>12</v>
      </c>
      <c r="E131" s="4">
        <v>12.5</v>
      </c>
      <c r="F131" s="4">
        <f>D131*E131</f>
        <v>150.0</v>
      </c>
    </row>
    <row r="132" spans="1:6">
      <c r="A132" s="2">
        <v>46259</v>
      </c>
      <c r="B132" t="s">
        <v>12</v>
      </c>
      <c r="C132" t="s">
        <v>13</v>
      </c>
      <c r="D132">
        <v>6</v>
      </c>
      <c r="E132" s="4">
        <v>30</v>
      </c>
      <c r="F132" s="4">
        <f>D132*E132</f>
        <v>180.0</v>
      </c>
    </row>
    <row r="133" spans="1:6">
      <c r="A133" s="2">
        <v>46261</v>
      </c>
      <c r="B133" t="s">
        <v>7</v>
      </c>
      <c r="C133" t="s">
        <v>13</v>
      </c>
      <c r="D133">
        <v>99</v>
      </c>
      <c r="E133" s="4">
        <v>30</v>
      </c>
      <c r="F133" s="4">
        <f>D133*E133</f>
        <v>2970.0</v>
      </c>
    </row>
    <row r="134" spans="1:6">
      <c r="A134" s="2">
        <v>46263</v>
      </c>
      <c r="B134" t="s">
        <v>10</v>
      </c>
      <c r="C134" t="s">
        <v>11</v>
      </c>
      <c r="D134">
        <v>34</v>
      </c>
      <c r="E134" s="4">
        <v>7.25</v>
      </c>
      <c r="F134" s="4">
        <f>D134*E134</f>
        <v>246.5</v>
      </c>
    </row>
    <row r="135" spans="1:6">
      <c r="A135" s="2">
        <v>46265</v>
      </c>
      <c r="B135" t="s">
        <v>10</v>
      </c>
      <c r="C135" t="s">
        <v>11</v>
      </c>
      <c r="D135">
        <v>57</v>
      </c>
      <c r="E135" s="4">
        <v>7.25</v>
      </c>
      <c r="F135" s="4">
        <f>D135*E135</f>
        <v>413.25</v>
      </c>
    </row>
    <row r="136" spans="1:6">
      <c r="A136" s="2">
        <v>46266</v>
      </c>
      <c r="B136" t="s">
        <v>12</v>
      </c>
      <c r="C136" t="s">
        <v>11</v>
      </c>
      <c r="D136">
        <v>2</v>
      </c>
      <c r="E136" s="4">
        <v>7.25</v>
      </c>
      <c r="F136" s="4">
        <f>D136*E136</f>
        <v>14.5</v>
      </c>
    </row>
    <row r="137" spans="1:6">
      <c r="A137" s="2">
        <v>46268</v>
      </c>
      <c r="B137" t="s">
        <v>7</v>
      </c>
      <c r="C137" t="s">
        <v>8</v>
      </c>
      <c r="D137">
        <v>89</v>
      </c>
      <c r="E137" s="4">
        <v>12.5</v>
      </c>
      <c r="F137" s="4">
        <f>D137*E137</f>
        <v>1112.5</v>
      </c>
    </row>
    <row r="138" spans="1:6">
      <c r="A138" s="2">
        <v>46270</v>
      </c>
      <c r="B138" t="s">
        <v>10</v>
      </c>
      <c r="C138" t="s">
        <v>11</v>
      </c>
      <c r="D138">
        <v>5</v>
      </c>
      <c r="E138" s="4">
        <v>7.25</v>
      </c>
      <c r="F138" s="4">
        <f>D138*E138</f>
        <v>36.25</v>
      </c>
    </row>
    <row r="139" spans="1:6">
      <c r="A139" s="2">
        <v>46272</v>
      </c>
      <c r="B139" t="s">
        <v>9</v>
      </c>
      <c r="C139" t="s">
        <v>11</v>
      </c>
      <c r="D139">
        <v>71</v>
      </c>
      <c r="E139" s="4">
        <v>7.25</v>
      </c>
      <c r="F139" s="4">
        <f>D139*E139</f>
        <v>514.75</v>
      </c>
    </row>
    <row r="140" spans="1:6">
      <c r="A140" s="2">
        <v>46274</v>
      </c>
      <c r="B140" t="s">
        <v>10</v>
      </c>
      <c r="C140" t="s">
        <v>13</v>
      </c>
      <c r="D140">
        <v>17</v>
      </c>
      <c r="E140" s="4">
        <v>30</v>
      </c>
      <c r="F140" s="4">
        <f>D140*E140</f>
        <v>510.0</v>
      </c>
    </row>
    <row r="141" spans="1:6">
      <c r="A141" s="2">
        <v>46275</v>
      </c>
      <c r="B141" t="s">
        <v>7</v>
      </c>
      <c r="C141" t="s">
        <v>13</v>
      </c>
      <c r="D141">
        <v>47</v>
      </c>
      <c r="E141" s="4">
        <v>30</v>
      </c>
      <c r="F141" s="4">
        <f>D141*E141</f>
        <v>1410.0</v>
      </c>
    </row>
    <row r="142" spans="1:6">
      <c r="A142" s="2">
        <v>46277</v>
      </c>
      <c r="B142" t="s">
        <v>7</v>
      </c>
      <c r="C142" t="s">
        <v>13</v>
      </c>
      <c r="D142">
        <v>27</v>
      </c>
      <c r="E142" s="4">
        <v>30</v>
      </c>
      <c r="F142" s="4">
        <f>D142*E142</f>
        <v>810.0</v>
      </c>
    </row>
    <row r="143" spans="1:6">
      <c r="A143" s="2">
        <v>46279</v>
      </c>
      <c r="B143" t="s">
        <v>10</v>
      </c>
      <c r="C143" t="s">
        <v>11</v>
      </c>
      <c r="D143">
        <v>14</v>
      </c>
      <c r="E143" s="4">
        <v>7.25</v>
      </c>
      <c r="F143" s="4">
        <f>D143*E143</f>
        <v>101.5</v>
      </c>
    </row>
    <row r="144" spans="1:6">
      <c r="A144" s="2">
        <v>46281</v>
      </c>
      <c r="B144" t="s">
        <v>9</v>
      </c>
      <c r="C144" t="s">
        <v>11</v>
      </c>
      <c r="D144">
        <v>53</v>
      </c>
      <c r="E144" s="4">
        <v>7.25</v>
      </c>
      <c r="F144" s="4">
        <f>D144*E144</f>
        <v>384.25</v>
      </c>
    </row>
    <row r="145" spans="1:6">
      <c r="A145" s="2">
        <v>46283</v>
      </c>
      <c r="B145" t="s">
        <v>10</v>
      </c>
      <c r="C145" t="s">
        <v>8</v>
      </c>
      <c r="D145">
        <v>21</v>
      </c>
      <c r="E145" s="4">
        <v>12.5</v>
      </c>
      <c r="F145" s="4">
        <f>D145*E145</f>
        <v>262.5</v>
      </c>
    </row>
    <row r="146" spans="1:6">
      <c r="A146" s="2">
        <v>46285</v>
      </c>
      <c r="B146" t="s">
        <v>10</v>
      </c>
      <c r="C146" t="s">
        <v>13</v>
      </c>
      <c r="D146">
        <v>4</v>
      </c>
      <c r="E146" s="4">
        <v>30</v>
      </c>
      <c r="F146" s="4">
        <f>D146*E146</f>
        <v>120.0</v>
      </c>
    </row>
    <row r="147" spans="1:6">
      <c r="A147" s="2">
        <v>46286</v>
      </c>
      <c r="B147" t="s">
        <v>10</v>
      </c>
      <c r="C147" t="s">
        <v>11</v>
      </c>
      <c r="D147">
        <v>43</v>
      </c>
      <c r="E147" s="4">
        <v>7.25</v>
      </c>
      <c r="F147" s="4">
        <f>D147*E147</f>
        <v>311.75</v>
      </c>
    </row>
    <row r="148" spans="1:6">
      <c r="A148" s="2">
        <v>46288</v>
      </c>
      <c r="B148" t="s">
        <v>12</v>
      </c>
      <c r="C148" t="s">
        <v>11</v>
      </c>
      <c r="D148">
        <v>95</v>
      </c>
      <c r="E148" s="4">
        <v>7.25</v>
      </c>
      <c r="F148" s="4">
        <f>D148*E148</f>
        <v>688.75</v>
      </c>
    </row>
    <row r="149" spans="1:6">
      <c r="A149" s="2">
        <v>46290</v>
      </c>
      <c r="B149" t="s">
        <v>10</v>
      </c>
      <c r="C149" t="s">
        <v>13</v>
      </c>
      <c r="D149">
        <v>21</v>
      </c>
      <c r="E149" s="4">
        <v>30</v>
      </c>
      <c r="F149" s="4">
        <f>D149*E149</f>
        <v>630.0</v>
      </c>
    </row>
    <row r="150" spans="1:6">
      <c r="A150" s="2">
        <v>46292</v>
      </c>
      <c r="B150" t="s">
        <v>7</v>
      </c>
      <c r="C150" t="s">
        <v>13</v>
      </c>
      <c r="D150">
        <v>5</v>
      </c>
      <c r="E150" s="4">
        <v>30</v>
      </c>
      <c r="F150" s="4">
        <f>D150*E150</f>
        <v>150.0</v>
      </c>
    </row>
    <row r="151" spans="1:6">
      <c r="A151" s="2">
        <v>46294</v>
      </c>
      <c r="B151" t="s">
        <v>12</v>
      </c>
      <c r="C151" t="s">
        <v>8</v>
      </c>
      <c r="D151">
        <v>26</v>
      </c>
      <c r="E151" s="4">
        <v>12.5</v>
      </c>
      <c r="F151" s="4">
        <f>D151*E151</f>
        <v>325.0</v>
      </c>
    </row>
    <row r="152" spans="1:6">
      <c r="A152" s="2">
        <v>46296</v>
      </c>
      <c r="B152" t="s">
        <v>12</v>
      </c>
      <c r="C152" t="s">
        <v>13</v>
      </c>
      <c r="D152">
        <v>40</v>
      </c>
      <c r="E152" s="4">
        <v>30</v>
      </c>
      <c r="F152" s="4">
        <f>D152*E152</f>
        <v>1200.0</v>
      </c>
    </row>
    <row r="153" spans="1:6">
      <c r="A153" s="2">
        <v>46297</v>
      </c>
      <c r="B153" t="s">
        <v>10</v>
      </c>
      <c r="C153" t="s">
        <v>8</v>
      </c>
      <c r="D153">
        <v>4</v>
      </c>
      <c r="E153" s="4">
        <v>12.5</v>
      </c>
      <c r="F153" s="4">
        <f>D153*E153</f>
        <v>50.0</v>
      </c>
    </row>
    <row r="154" spans="1:6">
      <c r="A154" s="2">
        <v>46299</v>
      </c>
      <c r="B154" t="s">
        <v>10</v>
      </c>
      <c r="C154" t="s">
        <v>13</v>
      </c>
      <c r="D154">
        <v>43</v>
      </c>
      <c r="E154" s="4">
        <v>30</v>
      </c>
      <c r="F154" s="4">
        <f>D154*E154</f>
        <v>1290.0</v>
      </c>
    </row>
    <row r="155" spans="1:6">
      <c r="A155" s="2">
        <v>46301</v>
      </c>
      <c r="B155" t="s">
        <v>9</v>
      </c>
      <c r="C155" t="s">
        <v>8</v>
      </c>
      <c r="D155">
        <v>99</v>
      </c>
      <c r="E155" s="4">
        <v>12.5</v>
      </c>
      <c r="F155" s="4">
        <f>D155*E155</f>
        <v>1237.5</v>
      </c>
    </row>
    <row r="156" spans="1:6">
      <c r="A156" s="2">
        <v>46303</v>
      </c>
      <c r="B156" t="s">
        <v>9</v>
      </c>
      <c r="C156" t="s">
        <v>13</v>
      </c>
      <c r="D156">
        <v>83</v>
      </c>
      <c r="E156" s="4">
        <v>30</v>
      </c>
      <c r="F156" s="4">
        <f>D156*E156</f>
        <v>2490.0</v>
      </c>
    </row>
    <row r="157" spans="1:6">
      <c r="A157" s="2">
        <v>46305</v>
      </c>
      <c r="B157" t="s">
        <v>12</v>
      </c>
      <c r="C157" t="s">
        <v>11</v>
      </c>
      <c r="D157">
        <v>69</v>
      </c>
      <c r="E157" s="4">
        <v>7.25</v>
      </c>
      <c r="F157" s="4">
        <f>D157*E157</f>
        <v>500.25</v>
      </c>
    </row>
    <row r="158" spans="1:6">
      <c r="A158" s="2">
        <v>46306</v>
      </c>
      <c r="B158" t="s">
        <v>9</v>
      </c>
      <c r="C158" t="s">
        <v>8</v>
      </c>
      <c r="D158">
        <v>15</v>
      </c>
      <c r="E158" s="4">
        <v>12.5</v>
      </c>
      <c r="F158" s="4">
        <f>D158*E158</f>
        <v>187.5</v>
      </c>
    </row>
    <row r="159" spans="1:6">
      <c r="A159" s="2">
        <v>46308</v>
      </c>
      <c r="B159" t="s">
        <v>9</v>
      </c>
      <c r="C159" t="s">
        <v>8</v>
      </c>
      <c r="D159">
        <v>75</v>
      </c>
      <c r="E159" s="4">
        <v>12.5</v>
      </c>
      <c r="F159" s="4">
        <f>D159*E159</f>
        <v>937.5</v>
      </c>
    </row>
    <row r="160" spans="1:6">
      <c r="A160" s="2">
        <v>46310</v>
      </c>
      <c r="B160" t="s">
        <v>9</v>
      </c>
      <c r="C160" t="s">
        <v>8</v>
      </c>
      <c r="D160">
        <v>14</v>
      </c>
      <c r="E160" s="4">
        <v>12.5</v>
      </c>
      <c r="F160" s="4">
        <f>D160*E160</f>
        <v>175.0</v>
      </c>
    </row>
    <row r="161" spans="1:6">
      <c r="A161" s="2">
        <v>46312</v>
      </c>
      <c r="B161" t="s">
        <v>12</v>
      </c>
      <c r="C161" t="s">
        <v>13</v>
      </c>
      <c r="D161">
        <v>94</v>
      </c>
      <c r="E161" s="4">
        <v>30</v>
      </c>
      <c r="F161" s="4">
        <f>D161*E161</f>
        <v>2820.0</v>
      </c>
    </row>
    <row r="162" spans="1:6">
      <c r="A162" s="2">
        <v>46314</v>
      </c>
      <c r="B162" t="s">
        <v>9</v>
      </c>
      <c r="C162" t="s">
        <v>13</v>
      </c>
      <c r="D162">
        <v>78</v>
      </c>
      <c r="E162" s="4">
        <v>30</v>
      </c>
      <c r="F162" s="4">
        <f>D162*E162</f>
        <v>2340.0</v>
      </c>
    </row>
    <row r="163" spans="1:6">
      <c r="A163" s="2">
        <v>46316</v>
      </c>
      <c r="B163" t="s">
        <v>7</v>
      </c>
      <c r="C163" t="s">
        <v>13</v>
      </c>
      <c r="D163">
        <v>74</v>
      </c>
      <c r="E163" s="4">
        <v>30</v>
      </c>
      <c r="F163" s="4">
        <f>D163*E163</f>
        <v>2220.0</v>
      </c>
    </row>
    <row r="164" spans="1:6">
      <c r="A164" s="2">
        <v>46317</v>
      </c>
      <c r="B164" t="s">
        <v>10</v>
      </c>
      <c r="C164" t="s">
        <v>13</v>
      </c>
      <c r="D164">
        <v>6</v>
      </c>
      <c r="E164" s="4">
        <v>30</v>
      </c>
      <c r="F164" s="4">
        <f>D164*E164</f>
        <v>180.0</v>
      </c>
    </row>
    <row r="165" spans="1:6">
      <c r="A165" s="2">
        <v>46319</v>
      </c>
      <c r="B165" t="s">
        <v>12</v>
      </c>
      <c r="C165" t="s">
        <v>8</v>
      </c>
      <c r="D165">
        <v>67</v>
      </c>
      <c r="E165" s="4">
        <v>12.5</v>
      </c>
      <c r="F165" s="4">
        <f>D165*E165</f>
        <v>837.5</v>
      </c>
    </row>
    <row r="166" spans="1:6">
      <c r="A166" s="2">
        <v>46321</v>
      </c>
      <c r="B166" t="s">
        <v>10</v>
      </c>
      <c r="C166" t="s">
        <v>13</v>
      </c>
      <c r="D166">
        <v>56</v>
      </c>
      <c r="E166" s="4">
        <v>30</v>
      </c>
      <c r="F166" s="4">
        <f>D166*E166</f>
        <v>1680.0</v>
      </c>
    </row>
    <row r="167" spans="1:6">
      <c r="A167" s="2">
        <v>46323</v>
      </c>
      <c r="B167" t="s">
        <v>7</v>
      </c>
      <c r="C167" t="s">
        <v>11</v>
      </c>
      <c r="D167">
        <v>43</v>
      </c>
      <c r="E167" s="4">
        <v>7.25</v>
      </c>
      <c r="F167" s="4">
        <f>D167*E167</f>
        <v>311.75</v>
      </c>
    </row>
    <row r="168" spans="1:6">
      <c r="A168" s="2">
        <v>46325</v>
      </c>
      <c r="B168" t="s">
        <v>9</v>
      </c>
      <c r="C168" t="s">
        <v>11</v>
      </c>
      <c r="D168">
        <v>16</v>
      </c>
      <c r="E168" s="4">
        <v>7.25</v>
      </c>
      <c r="F168" s="4">
        <f>D168*E168</f>
        <v>116.0</v>
      </c>
    </row>
    <row r="169" spans="1:6">
      <c r="A169" s="2">
        <v>46326</v>
      </c>
      <c r="B169" t="s">
        <v>9</v>
      </c>
      <c r="C169" t="s">
        <v>11</v>
      </c>
      <c r="D169">
        <v>40</v>
      </c>
      <c r="E169" s="4">
        <v>7.25</v>
      </c>
      <c r="F169" s="4">
        <f>D169*E169</f>
        <v>290.0</v>
      </c>
    </row>
    <row r="170" spans="1:6">
      <c r="A170" s="2">
        <v>46328</v>
      </c>
      <c r="B170" t="s">
        <v>12</v>
      </c>
      <c r="C170" t="s">
        <v>13</v>
      </c>
      <c r="D170">
        <v>52</v>
      </c>
      <c r="E170" s="4">
        <v>30</v>
      </c>
      <c r="F170" s="4">
        <f>D170*E170</f>
        <v>1560.0</v>
      </c>
    </row>
    <row r="171" spans="1:6">
      <c r="A171" s="2">
        <v>46330</v>
      </c>
      <c r="B171" t="s">
        <v>9</v>
      </c>
      <c r="C171" t="s">
        <v>11</v>
      </c>
      <c r="D171">
        <v>17</v>
      </c>
      <c r="E171" s="4">
        <v>7.25</v>
      </c>
      <c r="F171" s="4">
        <f>D171*E171</f>
        <v>123.25</v>
      </c>
    </row>
    <row r="172" spans="1:6">
      <c r="A172" s="2">
        <v>46332</v>
      </c>
      <c r="B172" t="s">
        <v>10</v>
      </c>
      <c r="C172" t="s">
        <v>13</v>
      </c>
      <c r="D172">
        <v>86</v>
      </c>
      <c r="E172" s="4">
        <v>30</v>
      </c>
      <c r="F172" s="4">
        <f>D172*E172</f>
        <v>2580.0</v>
      </c>
    </row>
    <row r="173" spans="1:6">
      <c r="A173" s="2">
        <v>46334</v>
      </c>
      <c r="B173" t="s">
        <v>12</v>
      </c>
      <c r="C173" t="s">
        <v>11</v>
      </c>
      <c r="D173">
        <v>96</v>
      </c>
      <c r="E173" s="4">
        <v>7.25</v>
      </c>
      <c r="F173" s="4">
        <f>D173*E173</f>
        <v>696.0</v>
      </c>
    </row>
    <row r="174" spans="1:6">
      <c r="A174" s="2">
        <v>46336</v>
      </c>
      <c r="B174" t="s">
        <v>10</v>
      </c>
      <c r="C174" t="s">
        <v>11</v>
      </c>
      <c r="D174">
        <v>73</v>
      </c>
      <c r="E174" s="4">
        <v>7.25</v>
      </c>
      <c r="F174" s="4">
        <f>D174*E174</f>
        <v>529.25</v>
      </c>
    </row>
    <row r="175" spans="1:6">
      <c r="A175" s="2">
        <v>46337</v>
      </c>
      <c r="B175" t="s">
        <v>9</v>
      </c>
      <c r="C175" t="s">
        <v>13</v>
      </c>
      <c r="D175">
        <v>71</v>
      </c>
      <c r="E175" s="4">
        <v>30</v>
      </c>
      <c r="F175" s="4">
        <f>D175*E175</f>
        <v>2130.0</v>
      </c>
    </row>
    <row r="176" spans="1:6">
      <c r="A176" s="2">
        <v>46339</v>
      </c>
      <c r="B176" t="s">
        <v>7</v>
      </c>
      <c r="C176" t="s">
        <v>13</v>
      </c>
      <c r="D176">
        <v>37</v>
      </c>
      <c r="E176" s="4">
        <v>30</v>
      </c>
      <c r="F176" s="4">
        <f>D176*E176</f>
        <v>1110.0</v>
      </c>
    </row>
    <row r="177" spans="1:6">
      <c r="A177" s="2">
        <v>46341</v>
      </c>
      <c r="B177" t="s">
        <v>10</v>
      </c>
      <c r="C177" t="s">
        <v>13</v>
      </c>
      <c r="D177">
        <v>75</v>
      </c>
      <c r="E177" s="4">
        <v>30</v>
      </c>
      <c r="F177" s="4">
        <f>D177*E177</f>
        <v>2250.0</v>
      </c>
    </row>
    <row r="178" spans="1:6">
      <c r="A178" s="2">
        <v>46343</v>
      </c>
      <c r="B178" t="s">
        <v>9</v>
      </c>
      <c r="C178" t="s">
        <v>13</v>
      </c>
      <c r="D178">
        <v>57</v>
      </c>
      <c r="E178" s="4">
        <v>30</v>
      </c>
      <c r="F178" s="4">
        <f>D178*E178</f>
        <v>1710.0</v>
      </c>
    </row>
    <row r="179" spans="1:6">
      <c r="A179" s="2">
        <v>46345</v>
      </c>
      <c r="B179" t="s">
        <v>12</v>
      </c>
      <c r="C179" t="s">
        <v>11</v>
      </c>
      <c r="D179">
        <v>28</v>
      </c>
      <c r="E179" s="4">
        <v>7.25</v>
      </c>
      <c r="F179" s="4">
        <f>D179*E179</f>
        <v>203.0</v>
      </c>
    </row>
    <row r="180" spans="1:6">
      <c r="A180" s="2">
        <v>46346</v>
      </c>
      <c r="B180" t="s">
        <v>12</v>
      </c>
      <c r="C180" t="s">
        <v>11</v>
      </c>
      <c r="D180">
        <v>22</v>
      </c>
      <c r="E180" s="4">
        <v>7.25</v>
      </c>
      <c r="F180" s="4">
        <f>D180*E180</f>
        <v>159.5</v>
      </c>
    </row>
    <row r="181" spans="1:6">
      <c r="A181" s="2">
        <v>46348</v>
      </c>
      <c r="B181" t="s">
        <v>7</v>
      </c>
      <c r="C181" t="s">
        <v>13</v>
      </c>
      <c r="D181">
        <v>66</v>
      </c>
      <c r="E181" s="4">
        <v>30</v>
      </c>
      <c r="F181" s="4">
        <f>D181*E181</f>
        <v>1980.0</v>
      </c>
    </row>
    <row r="182" spans="1:6">
      <c r="A182" s="2">
        <v>46350</v>
      </c>
      <c r="B182" t="s">
        <v>9</v>
      </c>
      <c r="C182" t="s">
        <v>8</v>
      </c>
      <c r="D182">
        <v>97</v>
      </c>
      <c r="E182" s="4">
        <v>12.5</v>
      </c>
      <c r="F182" s="4">
        <f>D182*E182</f>
        <v>1212.5</v>
      </c>
    </row>
    <row r="183" spans="1:6">
      <c r="A183" s="2">
        <v>46352</v>
      </c>
      <c r="B183" t="s">
        <v>10</v>
      </c>
      <c r="C183" t="s">
        <v>11</v>
      </c>
      <c r="D183">
        <v>40</v>
      </c>
      <c r="E183" s="4">
        <v>7.25</v>
      </c>
      <c r="F183" s="4">
        <f>D183*E183</f>
        <v>290.0</v>
      </c>
    </row>
    <row r="184" spans="1:6">
      <c r="A184" s="2">
        <v>46354</v>
      </c>
      <c r="B184" t="s">
        <v>10</v>
      </c>
      <c r="C184" t="s">
        <v>8</v>
      </c>
      <c r="D184">
        <v>19</v>
      </c>
      <c r="E184" s="4">
        <v>12.5</v>
      </c>
      <c r="F184" s="4">
        <f>D184*E184</f>
        <v>237.5</v>
      </c>
    </row>
    <row r="185" spans="1:6">
      <c r="A185" s="2">
        <v>46356</v>
      </c>
      <c r="B185" t="s">
        <v>7</v>
      </c>
      <c r="C185" t="s">
        <v>8</v>
      </c>
      <c r="D185">
        <v>32</v>
      </c>
      <c r="E185" s="4">
        <v>12.5</v>
      </c>
      <c r="F185" s="4">
        <f>D185*E185</f>
        <v>400.0</v>
      </c>
    </row>
    <row r="186" spans="1:6">
      <c r="A186" s="2">
        <v>46357</v>
      </c>
      <c r="B186" t="s">
        <v>12</v>
      </c>
      <c r="C186" t="s">
        <v>11</v>
      </c>
      <c r="D186">
        <v>99</v>
      </c>
      <c r="E186" s="4">
        <v>7.25</v>
      </c>
      <c r="F186" s="4">
        <f>D186*E186</f>
        <v>717.75</v>
      </c>
    </row>
    <row r="187" spans="1:6">
      <c r="A187" s="2">
        <v>46359</v>
      </c>
      <c r="B187" t="s">
        <v>7</v>
      </c>
      <c r="C187" t="s">
        <v>13</v>
      </c>
      <c r="D187">
        <v>54</v>
      </c>
      <c r="E187" s="4">
        <v>30</v>
      </c>
      <c r="F187" s="4">
        <f>D187*E187</f>
        <v>1620.0</v>
      </c>
    </row>
    <row r="188" spans="1:6">
      <c r="A188" s="2">
        <v>46361</v>
      </c>
      <c r="B188" t="s">
        <v>10</v>
      </c>
      <c r="C188" t="s">
        <v>11</v>
      </c>
      <c r="D188">
        <v>90</v>
      </c>
      <c r="E188" s="4">
        <v>7.25</v>
      </c>
      <c r="F188" s="4">
        <f>D188*E188</f>
        <v>652.5</v>
      </c>
    </row>
    <row r="189" spans="1:6">
      <c r="A189" s="2">
        <v>46363</v>
      </c>
      <c r="B189" t="s">
        <v>12</v>
      </c>
      <c r="C189" t="s">
        <v>13</v>
      </c>
      <c r="D189">
        <v>52</v>
      </c>
      <c r="E189" s="4">
        <v>30</v>
      </c>
      <c r="F189" s="4">
        <f>D189*E189</f>
        <v>1560.0</v>
      </c>
    </row>
    <row r="190" spans="1:6">
      <c r="A190" s="2">
        <v>46365</v>
      </c>
      <c r="B190" t="s">
        <v>10</v>
      </c>
      <c r="C190" t="s">
        <v>8</v>
      </c>
      <c r="D190">
        <v>84</v>
      </c>
      <c r="E190" s="4">
        <v>12.5</v>
      </c>
      <c r="F190" s="4">
        <f>D190*E190</f>
        <v>1050.0</v>
      </c>
    </row>
    <row r="191" spans="1:6">
      <c r="A191" s="2">
        <v>46366</v>
      </c>
      <c r="B191" t="s">
        <v>7</v>
      </c>
      <c r="C191" t="s">
        <v>8</v>
      </c>
      <c r="D191">
        <v>55</v>
      </c>
      <c r="E191" s="4">
        <v>12.5</v>
      </c>
      <c r="F191" s="4">
        <f>D191*E191</f>
        <v>687.5</v>
      </c>
    </row>
    <row r="192" spans="1:6">
      <c r="A192" s="2">
        <v>46368</v>
      </c>
      <c r="B192" t="s">
        <v>10</v>
      </c>
      <c r="C192" t="s">
        <v>8</v>
      </c>
      <c r="D192">
        <v>90</v>
      </c>
      <c r="E192" s="4">
        <v>12.5</v>
      </c>
      <c r="F192" s="4">
        <f>D192*E192</f>
        <v>1125.0</v>
      </c>
    </row>
    <row r="193" spans="1:6">
      <c r="A193" s="2">
        <v>46370</v>
      </c>
      <c r="B193" t="s">
        <v>12</v>
      </c>
      <c r="C193" t="s">
        <v>8</v>
      </c>
      <c r="D193">
        <v>72</v>
      </c>
      <c r="E193" s="4">
        <v>12.5</v>
      </c>
      <c r="F193" s="4">
        <f>D193*E193</f>
        <v>900.0</v>
      </c>
    </row>
    <row r="194" spans="1:6">
      <c r="A194" s="2">
        <v>46372</v>
      </c>
      <c r="B194" t="s">
        <v>10</v>
      </c>
      <c r="C194" t="s">
        <v>8</v>
      </c>
      <c r="D194">
        <v>59</v>
      </c>
      <c r="E194" s="4">
        <v>12.5</v>
      </c>
      <c r="F194" s="4">
        <f>D194*E194</f>
        <v>737.5</v>
      </c>
    </row>
    <row r="195" spans="1:6">
      <c r="A195" s="2">
        <v>46374</v>
      </c>
      <c r="B195" t="s">
        <v>10</v>
      </c>
      <c r="C195" t="s">
        <v>13</v>
      </c>
      <c r="D195">
        <v>86</v>
      </c>
      <c r="E195" s="4">
        <v>30</v>
      </c>
      <c r="F195" s="4">
        <f>D195*E195</f>
        <v>2580.0</v>
      </c>
    </row>
    <row r="196" spans="1:6">
      <c r="A196" s="2">
        <v>46376</v>
      </c>
      <c r="B196" t="s">
        <v>9</v>
      </c>
      <c r="C196" t="s">
        <v>13</v>
      </c>
      <c r="D196">
        <v>79</v>
      </c>
      <c r="E196" s="4">
        <v>30</v>
      </c>
      <c r="F196" s="4">
        <f>D196*E196</f>
        <v>2370.0</v>
      </c>
    </row>
    <row r="197" spans="1:6">
      <c r="A197" s="2">
        <v>46377</v>
      </c>
      <c r="B197" t="s">
        <v>12</v>
      </c>
      <c r="C197" t="s">
        <v>11</v>
      </c>
      <c r="D197">
        <v>58</v>
      </c>
      <c r="E197" s="4">
        <v>7.25</v>
      </c>
      <c r="F197" s="4">
        <f>D197*E197</f>
        <v>420.5</v>
      </c>
    </row>
    <row r="198" spans="1:6">
      <c r="A198" s="2">
        <v>46379</v>
      </c>
      <c r="B198" t="s">
        <v>10</v>
      </c>
      <c r="C198" t="s">
        <v>11</v>
      </c>
      <c r="D198">
        <v>61</v>
      </c>
      <c r="E198" s="4">
        <v>7.25</v>
      </c>
      <c r="F198" s="4">
        <f>D198*E198</f>
        <v>442.25</v>
      </c>
    </row>
    <row r="199" spans="1:6">
      <c r="A199" s="2">
        <v>46381</v>
      </c>
      <c r="B199" t="s">
        <v>12</v>
      </c>
      <c r="C199" t="s">
        <v>13</v>
      </c>
      <c r="D199">
        <v>97</v>
      </c>
      <c r="E199" s="4">
        <v>30</v>
      </c>
      <c r="F199" s="4">
        <f>D199*E199</f>
        <v>2910.0</v>
      </c>
    </row>
    <row r="200" spans="1:6">
      <c r="A200" s="2">
        <v>46383</v>
      </c>
      <c r="B200" t="s">
        <v>10</v>
      </c>
      <c r="C200" t="s">
        <v>11</v>
      </c>
      <c r="D200">
        <v>36</v>
      </c>
      <c r="E200" s="4">
        <v>7.25</v>
      </c>
      <c r="F200" s="4">
        <f>D200*E200</f>
        <v>261.0</v>
      </c>
    </row>
    <row r="201" spans="1:6">
      <c r="A201" s="2">
        <v>46385</v>
      </c>
      <c r="B201" t="s">
        <v>12</v>
      </c>
      <c r="C201" t="s">
        <v>11</v>
      </c>
      <c r="D201">
        <v>31</v>
      </c>
      <c r="E201" s="4">
        <v>7.25</v>
      </c>
      <c r="F201" s="4">
        <f>D201*E201</f>
        <v>224.75</v>
      </c>
    </row>
  </sheetData>
  <conditionalFormatting sqref="D2:D201">
    <cfRule type="dataBar" priority="1">
      <dataBar>
        <cfvo type="min" val="0"/>
        <cfvo type="max" val="0"/>
        <color rgb="FF63BE7B"/>
      </dataBar>
    </cfRule>
  </conditionalFormatting>
  <dataValidations count="1">
    <dataValidation type="list" allowBlank="1" showInputMessage="1" showErrorMessage="1" sqref="B2:B201">
      <formula1>"North,South,East,West"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26.7109375" customWidth="1"/>
    <col min="2" max="4" width="16.7109375" customWidth="1"/>
    <col min="6" max="7" width="12.7109375" customWidth="1"/>
  </cols>
  <sheetData>
    <row r="1" spans="1:7">
      <c r="A1" s="6" t="s">
        <v>31</v>
      </c>
    </row>
    <row r="3" spans="1:7">
      <c r="A3" s="3" t="s">
        <v>3</v>
      </c>
      <c r="B3" s="3" t="s">
        <v>32</v>
      </c>
      <c r="C3" s="3" t="s">
        <v>33</v>
      </c>
      <c r="D3" s="3" t="s">
        <v>34</v>
      </c>
      <c r="F3" s="3" t="s">
        <v>3</v>
      </c>
      <c r="G3" s="3" t="s">
        <v>5</v>
      </c>
    </row>
    <row r="4" spans="1:7">
      <c r="A4" t="s">
        <v>8</v>
      </c>
      <c r="B4" s="4" cm="1">
        <f t="array" ref="B4">_xlfn.XLOOKUP(A4,$F$4:$F$6,$G$4:$G$6)</f>
        <v>12.5</v>
      </c>
      <c r="C4" s="4">
        <f>VLOOKUP(A4,$F$4:$G$6,2,FALSE)</f>
        <v>12.5</v>
      </c>
      <c r="D4">
        <f>SUMIF(Data!$C$2:$C$201,A4,Data!$D$2:$D$201)</f>
        <v>4085</v>
      </c>
      <c r="F4" t="s">
        <v>8</v>
      </c>
      <c r="G4" s="4">
        <v>12.5</v>
      </c>
    </row>
    <row r="5" spans="1:7">
      <c r="A5" t="s">
        <v>13</v>
      </c>
      <c r="B5" s="4" cm="1">
        <f t="array" ref="B5">_xlfn.XLOOKUP(A5,$F$4:$F$6,$G$4:$G$6)</f>
        <v>30.0</v>
      </c>
      <c r="C5" s="4">
        <f>VLOOKUP(A5,$F$4:$G$6,2,FALSE)</f>
        <v>30.0</v>
      </c>
      <c r="D5">
        <f>SUMIF(Data!$C$2:$C$201,A5,Data!$D$2:$D$201)</f>
        <v>2644</v>
      </c>
      <c r="F5" t="s">
        <v>13</v>
      </c>
      <c r="G5" s="4">
        <v>30</v>
      </c>
    </row>
    <row r="6" spans="1:7">
      <c r="A6" t="s">
        <v>11</v>
      </c>
      <c r="B6" s="4" cm="1">
        <f t="array" ref="B6">_xlfn.XLOOKUP(A6,$F$4:$F$6,$G$4:$G$6)</f>
        <v>7.25</v>
      </c>
      <c r="C6" s="4">
        <f>VLOOKUP(A6,$F$4:$G$6,2,FALSE)</f>
        <v>7.25</v>
      </c>
      <c r="D6">
        <f>SUMIF(Data!$C$2:$C$201,A6,Data!$D$2:$D$201)</f>
        <v>3799</v>
      </c>
      <c r="F6" t="s">
        <v>11</v>
      </c>
      <c r="G6" s="4">
        <v>7.25</v>
      </c>
    </row>
    <row r="8" spans="1:7">
      <c r="A8" t="s">
        <v>35</v>
      </c>
      <c r="B8" s="4">
        <f>SUM(SalesData[Revenue])</f>
        <v>157925.25</v>
      </c>
    </row>
    <row r="9" spans="1:7">
      <c r="A9" t="s">
        <v>36</v>
      </c>
      <c r="B9" cm="1" t="str">
        <f t="array" ref="B9:B12">_xlfn._xlws.SORT(_xlfn.UNIQUE(Data!B2:B201))</f>
        <v>East</v>
      </c>
    </row>
    <row r="10" spans="1:7">
      <c r="B10" t="s">
        <v>7</v>
      </c>
    </row>
    <row r="11" spans="1:7">
      <c r="B11" t="s">
        <v>10</v>
      </c>
    </row>
    <row r="12" spans="1:7">
      <c r="B12" t="s">
        <v>12</v>
      </c>
    </row>
    <row r="14" spans="1:7">
      <c r="A14" t="s">
        <v>37</v>
      </c>
      <c r="B14" s="4">
        <f t="array" ref="B14">SUM(Data!D2:D201*Data!E2:E201)</f>
        <v>157925.25</v>
      </c>
    </row>
    <row r="15" spans="1:7">
      <c r="A15" t="s">
        <v>38</v>
      </c>
      <c r="B15" s="4">
        <f t="array" ref="B15:D15">TRANSPOSE(G4:G6*2)</f>
        <v>25.0</v>
      </c>
      <c r="C15" s="4">
        <v>60</v>
      </c>
      <c r="D15" s="4">
        <v>14.5</v>
      </c>
    </row>
    <row r="17" spans="1:2">
      <c r="A17" t="s">
        <v>39</v>
      </c>
      <c r="B17" t="s">
        <v>40</v>
      </c>
    </row>
    <row r="18" spans="1:2">
      <c r="A18" t="s">
        <v>41</v>
      </c>
      <c r="B18" t="str">
        <f>_xlfn.IFS(B4&gt;20,"High",B4&gt;10,"Mid",TRUE,"Low")</f>
        <v>Mid</v>
      </c>
    </row>
    <row r="19" spans="1:2">
      <c r="A19" t="s">
        <v>42</v>
      </c>
      <c r="B19" s="2">
        <f>EDATE(DATE(2026,1,31),1)</f>
        <v>46081</v>
      </c>
    </row>
    <row r="20" spans="1:2">
      <c r="A20" t="s">
        <v>43</v>
      </c>
      <c r="B20" t="str">
        <f>UPPER(LEFT(A4,3))&amp;"-"&amp;TEXT(G4,"0.00")</f>
        <v>WID-12.50</v>
      </c>
    </row>
    <row r="21" spans="1:2">
      <c r="A21" t="s">
        <v>44</v>
      </c>
      <c r="B21" s="11" t="str">
        <f>IF(SUM(D4:D6)&lt;0,"Negative","OK")</f>
        <v>OK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6" width="14.7109375" customWidth="1"/>
  </cols>
  <sheetData>
    <row r="1" spans="1:6">
      <c r="A1" s="6" t="s">
        <v>45</v>
      </c>
    </row>
    <row r="2" spans="1:6">
      <c r="A2" s="12" t="s">
        <v>46</v>
      </c>
      <c r="B2" s="12"/>
      <c r="C2" s="12"/>
      <c r="D2" s="12"/>
      <c r="E2" s="12"/>
      <c r="F2" s="12"/>
    </row>
    <row r="3" spans="1:6">
      <c r="A3" s="12"/>
      <c r="B3" s="12"/>
      <c r="C3" s="12"/>
      <c r="D3" s="12"/>
      <c r="E3" s="12"/>
      <c r="F3" s="12"/>
    </row>
    <row r="4" spans="1:6">
      <c r="A4" s="12"/>
      <c r="B4" s="12"/>
      <c r="C4" s="12"/>
      <c r="D4" s="12"/>
      <c r="E4" s="12"/>
      <c r="F4" s="12"/>
    </row>
    <row r="6" spans="1:6" hidden="1">
      <c r="A6" t="s">
        <v>47</v>
      </c>
      <c r="B6" t="s">
        <v>48</v>
      </c>
      <c r="C6" t="s">
        <v>49</v>
      </c>
    </row>
    <row r="7" spans="1:6" hidden="1">
      <c r="A7" t="s">
        <v>47</v>
      </c>
      <c r="B7" t="s">
        <v>48</v>
      </c>
      <c r="C7" t="s">
        <v>50</v>
      </c>
    </row>
    <row r="9" spans="1:6">
      <c r="A9" s="3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56</v>
      </c>
    </row>
    <row r="10" spans="1:6">
      <c r="A10" t="s">
        <v>4</v>
      </c>
      <c r="B10">
        <v>12</v>
      </c>
      <c r="C10">
        <v>18</v>
      </c>
      <c r="D10">
        <v>9</v>
      </c>
      <c r="E10">
        <v>24</v>
      </c>
      <c r="F10">
        <v>30</v>
      </c>
    </row>
  </sheetData>
  <mergeCells count="1">
    <mergeCell ref="A2:F4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Notes!B10:F10</xm:f>
              <xm:sqref>G10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3" t="s">
        <v>57</v>
      </c>
      <c r="B1" s="3" t="s">
        <v>58</v>
      </c>
    </row>
    <row r="2" spans="1:2">
      <c r="A2" t="s">
        <v>59</v>
      </c>
      <c r="B2" t="s">
        <v>7</v>
      </c>
    </row>
    <row r="3" spans="1:2">
      <c r="A3" t="s">
        <v>60</v>
      </c>
      <c r="B3" t="s">
        <v>10</v>
      </c>
    </row>
    <row r="4" spans="1:2">
      <c r="A4" t="s">
        <v>61</v>
      </c>
      <c r="B4" t="s">
        <v>9</v>
      </c>
    </row>
    <row r="5" spans="1:2">
      <c r="A5" t="s">
        <v>62</v>
      </c>
      <c r="B5" t="s">
        <v>12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0</v>
      </c>
      <c r="B1" s="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Summary</vt:lpstr>
      <vt:lpstr>Data</vt:lpstr>
      <vt:lpstr>Lookups</vt:lpstr>
      <vt:lpstr>Notes</vt:lpstr>
      <vt:lpstr>Reference</vt:lpstr>
      <vt:lpstr>Settings</vt:lpstr>
      <vt:lpstr>Monthly Chart</vt:lpstr>
      <vt:lpstr>TaxRate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2026-10-07T09:44:28Z</dcterms:created>
  <dcterms:modified xsi:type="dcterms:W3CDTF">2026-10-07T09:44:28Z</dcterms:modified>
</cp:coreProperties>
</file>