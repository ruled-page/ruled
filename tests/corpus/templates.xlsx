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" sheetId="1" r:id="rId1"/>
    <sheet name="Lines" sheetId="2" r:id="rId2"/>
    <sheet name="Arrays" sheetId="3" r:id="rId3"/>
  </sheets>
  <definedNames>
    <definedName name="Budget">Request!$B$5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<sst xmlns="http://schemas.openxmlformats.org/spreadsheetml/2006/main" count="37" uniqueCount="31">
  <si>
    <t>Purchase request</t>
  </si>
  <si>
    <t>Requested by</t>
  </si>
  <si>
    <t>Needed by</t>
  </si>
  <si>
    <t>Budget</t>
  </si>
  <si>
    <t>Order total</t>
  </si>
  <si>
    <t>Within budget</t>
  </si>
  <si>
    <t>Total</t>
  </si>
  <si>
    <t>Item</t>
  </si>
  <si>
    <t>Category</t>
  </si>
  <si>
    <t>Qty</t>
  </si>
  <si>
    <t>Price</t>
  </si>
  <si>
    <t>Bolts</t>
  </si>
  <si>
    <t>Hardware</t>
  </si>
  <si>
    <t>Nuts</t>
  </si>
  <si>
    <t>Cable</t>
  </si>
  <si>
    <t>Electrical</t>
  </si>
  <si>
    <t>Switch</t>
  </si>
  <si>
    <t>Gloves</t>
  </si>
  <si>
    <t>Safety</t>
  </si>
  <si>
    <t>Catalogue</t>
  </si>
  <si>
    <t>Back to the request</t>
  </si>
  <si>
    <t>Notes</t>
  </si>
  <si>
    <t>Note 1</t>
  </si>
  <si>
    <t>Note 2</t>
  </si>
  <si>
    <t>Note 3</t>
  </si>
  <si>
    <t>Categories</t>
  </si>
  <si>
    <t>Spend</t>
  </si>
  <si>
    <t>Biggest line</t>
  </si>
  <si>
    <t>With tax</t>
  </si>
  <si>
    <t>Doubled</t>
  </si>
  <si>
    <t>Hardware lines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</si>
</sst>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165" fontId="0" fillId="2" borderId="0" xfId="0" applyNumberFormat="1" applyFill="1" applyProtection="1">
      <protection locked="0"/>
    </xf>
    <xf numFmtId="166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1">
    <dxf>
      <numFmt numFmtId="166" formatCode="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Orders" displayName="Orders" ref="A1:E7" totalsRowCount="1">
  <autoFilter ref="A1:E6"/>
  <tableColumns count="5">
    <tableColumn id="1" name="Item" totalsRowLabel="Total"/>
    <tableColumn id="2" name="Category"/>
    <tableColumn id="3" name="Qty" totalsRowFunction="sum"/>
    <tableColumn id="4" name="Price" dataDxfId="0"/>
    <tableColumn id="5" name="Total" totalsRowFunction="sum" dataDxfId="0">
      <calculatedColumnFormula>[[#This Row],Qty]*[[#This Row],Price]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catalogue" TargetMode="Externa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2.7109375" customWidth="1"/>
    <col min="2" max="2" width="18.7109375" customWidth="1"/>
  </cols>
  <sheetData>
    <row r="1" spans="1:2">
      <c r="A1" s="1" t="s">
        <v>0</v>
      </c>
    </row>
    <row r="3" spans="1:2">
      <c r="A3" t="s">
        <v>1</v>
      </c>
      <c r="B3" s="2"/>
    </row>
    <row r="4" spans="1:2">
      <c r="A4" t="s">
        <v>2</v>
      </c>
      <c r="B4" s="3">
        <v>46328</v>
      </c>
    </row>
    <row r="5" spans="1:2">
      <c r="A5" t="s">
        <v>3</v>
      </c>
      <c r="B5" s="4">
        <v>2500</v>
      </c>
    </row>
    <row r="6" spans="1:2">
      <c r="A6" t="s">
        <v>4</v>
      </c>
      <c r="B6" s="5">
        <f>SUM(Orders[Total])</f>
        <v>373.5</v>
      </c>
    </row>
    <row r="7" spans="1:2">
      <c r="A7" t="s">
        <v>5</v>
      </c>
      <c r="B7" t="str">
        <f>IF(B6&lt;=Budget,"Yes","No")</f>
        <v>Yes</v>
      </c>
    </row>
  </sheetData>
  <sheetProtection sheet="1" objects="1" scenarios="1"/>
  <dataValidations count="1">
    <dataValidation type="whole" operator="greaterThan" allowBlank="1" showInputMessage="1" showErrorMessage="1" sqref="B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1"/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6</v>
      </c>
      <c r="G1" s="6" t="s">
        <v>19</v>
      </c>
    </row>
    <row r="2" spans="1:7">
      <c r="A2" t="s">
        <v>11</v>
      </c>
      <c r="B2" t="s">
        <v>12</v>
      </c>
      <c r="C2">
        <v>120</v>
      </c>
      <c r="D2" s="5">
        <v>0.25</v>
      </c>
      <c r="E2" s="5">
        <f>[@Qty]*[@Price]</f>
        <v>30.0</v>
      </c>
      <c r="G2" s="6" t="s">
        <v>20</v>
      </c>
    </row>
    <row r="3" spans="1:7">
      <c r="A3" t="s">
        <v>13</v>
      </c>
      <c r="B3" t="s">
        <v>12</v>
      </c>
      <c r="C3">
        <v>300</v>
      </c>
      <c r="D3" s="5">
        <v>0.1</v>
      </c>
      <c r="E3" s="5">
        <f>[@Qty]*[@Price]</f>
        <v>30.0</v>
      </c>
    </row>
    <row r="4" spans="1:7">
      <c r="A4" t="s">
        <v>14</v>
      </c>
      <c r="B4" t="s">
        <v>15</v>
      </c>
      <c r="C4">
        <v>15</v>
      </c>
      <c r="D4" s="5">
        <v>4.5</v>
      </c>
      <c r="E4" s="5">
        <f>[@Qty]*[@Price]</f>
        <v>67.5</v>
      </c>
    </row>
    <row r="5" spans="1:7">
      <c r="A5" t="s">
        <v>16</v>
      </c>
      <c r="B5" t="s">
        <v>15</v>
      </c>
      <c r="C5">
        <v>8</v>
      </c>
      <c r="D5" s="5">
        <v>12</v>
      </c>
      <c r="E5" s="5">
        <f>[@Qty]*[@Price]</f>
        <v>96.0</v>
      </c>
    </row>
    <row r="6" spans="1:7">
      <c r="A6" t="s">
        <v>17</v>
      </c>
      <c r="B6" t="s">
        <v>18</v>
      </c>
      <c r="C6">
        <v>40</v>
      </c>
      <c r="D6" s="5">
        <v>3.75</v>
      </c>
      <c r="E6" s="5">
        <f>[@Qty]*[@Price]</f>
        <v>150.0</v>
      </c>
    </row>
    <row r="7" spans="1:7">
      <c r="A7" t="s">
        <v>6</v>
      </c>
      <c r="C7">
        <f>SUBTOTAL(109,[Qty])</f>
        <v>483</v>
      </c>
      <c r="E7" s="5">
        <f>SUBTOTAL(109,[Total])</f>
        <v>373.5</v>
      </c>
    </row>
    <row r="10" spans="1:7">
      <c r="A10" t="s">
        <v>21</v>
      </c>
    </row>
    <row r="11" spans="1:7" hidden="1" outlineLevel="1">
      <c r="A11" t="s">
        <v>22</v>
      </c>
    </row>
    <row r="12" spans="1:7" hidden="1" outlineLevel="1">
      <c r="A12" t="s">
        <v>23</v>
      </c>
    </row>
    <row r="13" spans="1:7" hidden="1" outlineLevel="1">
      <c r="A13" t="s">
        <v>24</v>
      </c>
    </row>
    <row r="14" spans="1:7" collapsed="1"/>
  </sheetData>
  <hyperlinks>
    <hyperlink ref="G1" r:id="rId1"/>
    <hyperlink ref="G2" location="Request!B3" display="Back to the request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25</v>
      </c>
      <c r="B1" s="1" t="s">
        <v>26</v>
      </c>
      <c r="D1" s="1" t="s">
        <v>27</v>
      </c>
    </row>
    <row r="2" spans="1:5">
      <c r="A2" cm="1" t="str">
        <f t="array" ref="A2:A4">_xlfn._xlws.SORT(_xlfn.UNIQUE(Orders[Category]))</f>
        <v>Electrical</v>
      </c>
      <c r="B2" cm="1">
        <f t="array" ref="B2:B4">SUMIFS(Orders[Total],Orders[Category],A2#)</f>
        <v>163.5</v>
      </c>
      <c r="D2" cm="1" t="str">
        <f t="array" ref="D2">_xlfn.XLOOKUP(MAX(Orders[Total]),Orders[Total],Orders[Item])</f>
        <v>Gloves</v>
      </c>
    </row>
    <row r="3" spans="1:5">
      <c r="A3" t="s">
        <v>12</v>
      </c>
      <c r="B3">
        <v>60</v>
      </c>
      <c r="D3" t="s">
        <v>28</v>
      </c>
      <c r="E3" s="5">
        <f>_xlfn.LET(net,SUM(Orders[Total]),rate,0.2,net*(1+rate))</f>
        <v>448.2</v>
      </c>
    </row>
    <row r="4" spans="1:5">
      <c r="A4" t="s">
        <v>18</v>
      </c>
      <c r="B4">
        <v>150</v>
      </c>
      <c r="D4" t="s">
        <v>29</v>
      </c>
      <c r="E4" cm="1">
        <f t="array" ref="E4">_xlfn.LAMBDA(x,x*2)(Budget)</f>
        <v>5000</v>
      </c>
    </row>
    <row r="5" spans="1:5">
      <c r="D5" t="s">
        <v>30</v>
      </c>
      <c r="E5" cm="1" t="str">
        <f t="array" ref="E5:E6">_xlfn._xlws.FILTER(Orders[Item],Orders[Category]="Hardware")</f>
        <v>Bolts</v>
      </c>
    </row>
    <row r="6" spans="1:5"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Request</vt:lpstr>
      <vt:lpstr>Lines</vt:lpstr>
      <vt:lpstr>Arrays</vt:lpstr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2026-10-08T16:10:20Z</dcterms:created>
  <dcterms:modified xsi:type="dcterms:W3CDTF">2026-10-08T16:10:20Z</dcterms:modified>
</cp:coreProperties>
</file>